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BM" sheetId="1" r:id="rId5"/>
  </sheets>
  <definedNames/>
  <calcPr/>
</workbook>
</file>

<file path=xl/sharedStrings.xml><?xml version="1.0" encoding="utf-8"?>
<sst xmlns="http://schemas.openxmlformats.org/spreadsheetml/2006/main" count="143" uniqueCount="53">
  <si>
    <t>IBM</t>
  </si>
  <si>
    <t>Source: Orbis, Refinitiv Eikon, Annual Reports 2024</t>
  </si>
  <si>
    <t>Data in billion USD</t>
  </si>
  <si>
    <t>IBM's Financial Data</t>
  </si>
  <si>
    <t>Item</t>
  </si>
  <si>
    <t>Level/SBU</t>
  </si>
  <si>
    <t>2015</t>
  </si>
  <si>
    <t>2016</t>
  </si>
  <si>
    <t>2017</t>
  </si>
  <si>
    <t>2018</t>
  </si>
  <si>
    <t>2019</t>
  </si>
  <si>
    <t>2020</t>
  </si>
  <si>
    <t>2021</t>
  </si>
  <si>
    <t>2022</t>
  </si>
  <si>
    <t>Total sales</t>
  </si>
  <si>
    <t>Firm-level (overall)</t>
  </si>
  <si>
    <t>Sales growth year on year</t>
  </si>
  <si>
    <t>Net income</t>
  </si>
  <si>
    <t>Dividends paid</t>
  </si>
  <si>
    <t>Total equity</t>
  </si>
  <si>
    <t>Dividend Payout Ratio</t>
  </si>
  <si>
    <t>ROE</t>
  </si>
  <si>
    <t>SGR</t>
  </si>
  <si>
    <t>Sales CAGR</t>
  </si>
  <si>
    <t>Average</t>
  </si>
  <si>
    <t>IBM's Sales Data by Business Segment</t>
  </si>
  <si>
    <t>Sales (as sum of segments, without special effects)</t>
  </si>
  <si>
    <t>Sales</t>
  </si>
  <si>
    <t>Global Business Services</t>
  </si>
  <si>
    <t>Share of SBU Sales in Parent</t>
  </si>
  <si>
    <t>Software &amp; Cognitive Solutions</t>
  </si>
  <si>
    <t>Systems / Infrastructure / Cloud</t>
  </si>
  <si>
    <t>Global Technology Services</t>
  </si>
  <si>
    <t>Note: The data shown in this table has been cleaned, aligned and stratified over time (to account for restructured business units) which explains some deviations from the reported figures. Here, specifically, the cloud business has been considered as part of the systems / insfrastructure / cloud segment from 2015 onwards, although it was part (and has been reported as part) of Global Technology Services.</t>
  </si>
  <si>
    <t>IBM's Competitors' Sales Data</t>
  </si>
  <si>
    <t>IBM's SBU</t>
  </si>
  <si>
    <t>Competitor (SBU, if applicable)</t>
  </si>
  <si>
    <t>Deloitte (Deloitte Consulting LLP)</t>
  </si>
  <si>
    <t>PwC (Advisory)</t>
  </si>
  <si>
    <t>Capgemini (Strategy &amp; Transformation)</t>
  </si>
  <si>
    <t>Hewlett Packard Enterprise (Intelligent Edge)</t>
  </si>
  <si>
    <t>Salesforce</t>
  </si>
  <si>
    <t>Amazon (Amazon Web Services)</t>
  </si>
  <si>
    <t>Microsoft (Intelligent Cloud)</t>
  </si>
  <si>
    <t>Dell Technologies (Infrastrucure Solutions Group)</t>
  </si>
  <si>
    <t>Oracle</t>
  </si>
  <si>
    <t>Competitor revenues, annual, per segment</t>
  </si>
  <si>
    <t>Competitor growth rate, annual, per segment</t>
  </si>
  <si>
    <t>Segment weighting factor, annual</t>
  </si>
  <si>
    <t>Weighted average competitor growth rate (annual)</t>
  </si>
  <si>
    <t>Year</t>
  </si>
  <si>
    <t>CGR</t>
  </si>
  <si>
    <t>Total Sales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</si>
</sst>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0"/>
    <numFmt numFmtId="166" formatCode="0.0%"/>
  </numFmts>
  <fonts count="20">
    <font>
      <sz val="11.0"/>
      <color rgb="FF000000"/>
      <name val="Aptos Narrow"/>
      <scheme val="minor"/>
    </font>
    <font>
      <b/>
      <sz val="20.0"/>
      <color rgb="FF000000"/>
      <name val="Aptos Narrow"/>
    </font>
    <font>
      <b/>
      <sz val="11.0"/>
      <color rgb="FF000000"/>
      <name val="Aptos Narrow"/>
    </font>
    <font>
      <color theme="1"/>
      <name val="Aptos Narrow"/>
      <scheme val="minor"/>
    </font>
    <font>
      <sz val="11.0"/>
      <color rgb="FFFF0000"/>
      <name val="Aptos Narrow"/>
    </font>
    <font>
      <b/>
      <i/>
      <sz val="11.0"/>
      <color rgb="FF000000"/>
      <name val="Aptos Narrow"/>
    </font>
    <font/>
    <font>
      <b/>
      <sz val="11.0"/>
      <color theme="0"/>
      <name val="Aptos Narrow"/>
    </font>
    <font>
      <sz val="11.0"/>
      <color rgb="FF000000"/>
      <name val="Calibri"/>
    </font>
    <font>
      <sz val="11.0"/>
      <color rgb="FF000000"/>
      <name val="Aptos Narrow"/>
    </font>
    <font>
      <b/>
      <sz val="11.0"/>
      <color rgb="FF000000"/>
      <name val="Calibri"/>
    </font>
    <font>
      <b/>
      <sz val="12.0"/>
      <color rgb="FF000000"/>
      <name val="Calibri"/>
    </font>
    <font>
      <sz val="11.0"/>
      <color theme="1"/>
      <name val="Aptos Narrow"/>
      <scheme val="minor"/>
    </font>
    <font>
      <sz val="11.0"/>
      <color theme="1"/>
      <name val="Calibri"/>
    </font>
    <font>
      <sz val="11.0"/>
      <color rgb="FF000000"/>
      <name val="Arial"/>
    </font>
    <font>
      <b/>
      <sz val="11.0"/>
      <color rgb="FFFFFFFF"/>
      <name val="Aptos Narrow"/>
    </font>
    <font>
      <sz val="11.0"/>
      <color theme="1"/>
      <name val="Aptos Narrow"/>
    </font>
    <font>
      <b/>
      <color theme="1"/>
      <name val="Arial"/>
    </font>
    <font>
      <b/>
      <color theme="1"/>
      <name val="Aptos Narrow"/>
      <scheme val="minor"/>
    </font>
    <font>
      <color theme="1"/>
      <name val="Arial"/>
    </font>
  </fonts>
  <fills count="7">
    <fill>
      <patternFill patternType="none"/>
    </fill>
    <fill>
      <patternFill patternType="lightGray"/>
    </fill>
    <fill>
      <patternFill patternType="solid">
        <fgColor rgb="FF7F7F7F"/>
        <bgColor rgb="FF7F7F7F"/>
      </patternFill>
    </fill>
    <fill>
      <patternFill patternType="solid">
        <fgColor rgb="FFF6C6AC"/>
        <bgColor rgb="FFF6C6AC"/>
      </patternFill>
    </fill>
    <fill>
      <patternFill patternType="solid">
        <fgColor rgb="FFB8D4EF"/>
        <bgColor rgb="FFB8D4EF"/>
      </patternFill>
    </fill>
    <fill>
      <patternFill patternType="solid">
        <fgColor rgb="FFFFFFFF"/>
        <bgColor rgb="FFFFFFFF"/>
      </patternFill>
    </fill>
    <fill>
      <patternFill patternType="solid">
        <fgColor rgb="FFEFEFEF"/>
        <bgColor rgb="FFEFEFE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right/>
      <top/>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0" fontId="5" numFmtId="0" xfId="0" applyAlignment="1" applyBorder="1" applyFont="1">
      <alignment horizontal="center"/>
    </xf>
    <xf borderId="2" fillId="0" fontId="6" numFmtId="0" xfId="0" applyBorder="1" applyFont="1"/>
    <xf borderId="3" fillId="0" fontId="6" numFmtId="0" xfId="0" applyBorder="1" applyFont="1"/>
    <xf borderId="4" fillId="2" fontId="7" numFmtId="0" xfId="0" applyBorder="1" applyFill="1" applyFont="1"/>
    <xf borderId="4" fillId="0" fontId="8" numFmtId="4" xfId="0" applyBorder="1" applyFont="1" applyNumberFormat="1"/>
    <xf borderId="4" fillId="0" fontId="9" numFmtId="0" xfId="0" applyBorder="1" applyFont="1"/>
    <xf borderId="4" fillId="0" fontId="8" numFmtId="164" xfId="0" applyBorder="1" applyFont="1" applyNumberFormat="1"/>
    <xf borderId="4" fillId="0" fontId="9" numFmtId="164" xfId="0" applyBorder="1" applyFont="1" applyNumberFormat="1"/>
    <xf borderId="4" fillId="0" fontId="8" numFmtId="10" xfId="0" applyBorder="1" applyFont="1" applyNumberFormat="1"/>
    <xf borderId="4" fillId="0" fontId="8" numFmtId="164" xfId="0" applyAlignment="1" applyBorder="1" applyFont="1" applyNumberFormat="1">
      <alignment shrinkToFit="0" vertical="center" wrapText="1"/>
    </xf>
    <xf borderId="4" fillId="0" fontId="9" numFmtId="164" xfId="0" applyAlignment="1" applyBorder="1" applyFont="1" applyNumberFormat="1">
      <alignment shrinkToFit="0" vertical="center" wrapText="1"/>
    </xf>
    <xf borderId="4" fillId="0" fontId="8" numFmtId="9" xfId="0" applyBorder="1" applyFont="1" applyNumberFormat="1"/>
    <xf borderId="0" fillId="0" fontId="8" numFmtId="4" xfId="0" applyFont="1" applyNumberFormat="1"/>
    <xf borderId="0" fillId="0" fontId="8" numFmtId="9" xfId="0" applyFont="1" applyNumberFormat="1"/>
    <xf borderId="4" fillId="0" fontId="2" numFmtId="0" xfId="0" applyAlignment="1" applyBorder="1" applyFont="1">
      <alignment horizontal="left"/>
    </xf>
    <xf borderId="4" fillId="0" fontId="9" numFmtId="0" xfId="0" applyAlignment="1" applyBorder="1" applyFont="1">
      <alignment horizontal="left"/>
    </xf>
    <xf borderId="4" fillId="0" fontId="9" numFmtId="9" xfId="0" applyAlignment="1" applyBorder="1" applyFont="1" applyNumberFormat="1">
      <alignment horizontal="left"/>
    </xf>
    <xf borderId="5" fillId="3" fontId="10" numFmtId="10" xfId="0" applyBorder="1" applyFill="1" applyFont="1" applyNumberFormat="1"/>
    <xf borderId="4" fillId="0" fontId="9" numFmtId="10" xfId="0" applyAlignment="1" applyBorder="1" applyFont="1" applyNumberFormat="1">
      <alignment horizontal="left"/>
    </xf>
    <xf borderId="6" fillId="0" fontId="9" numFmtId="0" xfId="0" applyAlignment="1" applyBorder="1" applyFont="1">
      <alignment horizontal="left"/>
    </xf>
    <xf borderId="5" fillId="4" fontId="10" numFmtId="10" xfId="0" applyBorder="1" applyFill="1" applyFont="1" applyNumberFormat="1"/>
    <xf borderId="4" fillId="0" fontId="11" numFmtId="4" xfId="0" applyAlignment="1" applyBorder="1" applyFont="1" applyNumberFormat="1">
      <alignment readingOrder="0"/>
    </xf>
    <xf borderId="4" fillId="0" fontId="12" numFmtId="0" xfId="0" applyBorder="1" applyFont="1"/>
    <xf borderId="0" fillId="0" fontId="10" numFmtId="4" xfId="0" applyFont="1" applyNumberFormat="1"/>
    <xf borderId="0" fillId="0" fontId="8" numFmtId="10" xfId="0" applyFont="1" applyNumberFormat="1"/>
    <xf borderId="4" fillId="0" fontId="13" numFmtId="10" xfId="0" applyBorder="1" applyFont="1" applyNumberFormat="1"/>
    <xf borderId="0" fillId="0" fontId="9" numFmtId="0" xfId="0" applyAlignment="1" applyFont="1">
      <alignment horizontal="left" shrinkToFit="0" vertical="top" wrapText="1"/>
    </xf>
    <xf borderId="4" fillId="5" fontId="9" numFmtId="0" xfId="0" applyBorder="1" applyFill="1" applyFont="1"/>
    <xf borderId="4" fillId="6" fontId="9" numFmtId="0" xfId="0" applyBorder="1" applyFill="1" applyFont="1"/>
    <xf borderId="4" fillId="6" fontId="9" numFmtId="165" xfId="0" applyBorder="1" applyFont="1" applyNumberFormat="1"/>
    <xf borderId="4" fillId="6" fontId="14" numFmtId="0" xfId="0" applyAlignment="1" applyBorder="1" applyFont="1">
      <alignment readingOrder="0"/>
    </xf>
    <xf borderId="4" fillId="2" fontId="15" numFmtId="0" xfId="0" applyAlignment="1" applyBorder="1" applyFont="1">
      <alignment vertical="bottom"/>
    </xf>
    <xf borderId="4" fillId="2" fontId="16" numFmtId="0" xfId="0" applyAlignment="1" applyBorder="1" applyFont="1">
      <alignment vertical="bottom"/>
    </xf>
    <xf borderId="0" fillId="0" fontId="16" numFmtId="0" xfId="0" applyAlignment="1" applyFont="1">
      <alignment vertical="bottom"/>
    </xf>
    <xf borderId="0" fillId="0" fontId="16" numFmtId="0" xfId="0" applyAlignment="1" applyFont="1">
      <alignment vertical="bottom"/>
    </xf>
    <xf borderId="4" fillId="6" fontId="16" numFmtId="0" xfId="0" applyAlignment="1" applyBorder="1" applyFont="1">
      <alignment vertical="bottom"/>
    </xf>
    <xf borderId="4" fillId="6" fontId="16" numFmtId="165" xfId="0" applyAlignment="1" applyBorder="1" applyFont="1" applyNumberFormat="1">
      <alignment horizontal="right" vertical="bottom"/>
    </xf>
    <xf borderId="4" fillId="6" fontId="16" numFmtId="10" xfId="0" applyAlignment="1" applyBorder="1" applyFont="1" applyNumberFormat="1">
      <alignment horizontal="right" vertical="bottom"/>
    </xf>
    <xf borderId="4" fillId="6" fontId="16" numFmtId="166" xfId="0" applyAlignment="1" applyBorder="1" applyFont="1" applyNumberFormat="1">
      <alignment horizontal="right" vertical="bottom"/>
    </xf>
    <xf borderId="4" fillId="6" fontId="16" numFmtId="166" xfId="0" applyAlignment="1" applyBorder="1" applyFont="1" applyNumberFormat="1">
      <alignment vertical="bottom"/>
    </xf>
    <xf borderId="4" fillId="6" fontId="2" numFmtId="0" xfId="0" applyAlignment="1" applyBorder="1" applyFont="1">
      <alignment vertical="bottom"/>
    </xf>
    <xf borderId="4" fillId="6" fontId="9" numFmtId="0" xfId="0" applyAlignment="1" applyBorder="1" applyFont="1">
      <alignment vertical="bottom"/>
    </xf>
    <xf borderId="4" fillId="6" fontId="9" numFmtId="9" xfId="0" applyAlignment="1" applyBorder="1" applyFont="1" applyNumberFormat="1">
      <alignment vertical="bottom"/>
    </xf>
    <xf borderId="0" fillId="0" fontId="3" numFmtId="10" xfId="0" applyFont="1" applyNumberFormat="1"/>
    <xf borderId="4" fillId="0" fontId="17" numFmtId="0" xfId="0" applyAlignment="1" applyBorder="1" applyFont="1">
      <alignment horizontal="center" readingOrder="0"/>
    </xf>
    <xf borderId="4" fillId="0" fontId="18" numFmtId="0" xfId="0" applyAlignment="1" applyBorder="1" applyFont="1">
      <alignment horizontal="center"/>
    </xf>
    <xf borderId="4" fillId="0" fontId="3" numFmtId="0" xfId="0" applyAlignment="1" applyBorder="1" applyFont="1">
      <alignment horizontal="center"/>
    </xf>
    <xf borderId="4" fillId="0" fontId="3" numFmtId="9" xfId="0" applyAlignment="1" applyBorder="1" applyFont="1" applyNumberFormat="1">
      <alignment horizontal="center"/>
    </xf>
    <xf borderId="4" fillId="0" fontId="3" numFmtId="164" xfId="0" applyAlignment="1" applyBorder="1" applyFont="1" applyNumberFormat="1">
      <alignment horizontal="center"/>
    </xf>
    <xf borderId="4" fillId="0" fontId="3" numFmtId="10" xfId="0" applyAlignment="1" applyBorder="1" applyFont="1" applyNumberFormat="1">
      <alignment horizontal="center"/>
    </xf>
    <xf borderId="0" fillId="0" fontId="19" numFmtId="0" xfId="0" applyAlignment="1" applyFont="1">
      <alignment readingOrder="0"/>
    </xf>
    <xf borderId="0" fillId="0" fontId="3"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88"/>
    <col customWidth="1" min="2" max="2" width="40.63"/>
    <col customWidth="1" min="3" max="10" width="13.63"/>
    <col customWidth="1" min="11" max="11" width="12.5"/>
    <col customWidth="1" min="12" max="12" width="13.38"/>
    <col customWidth="1" min="13" max="26" width="8.88"/>
  </cols>
  <sheetData>
    <row r="1" ht="14.25" customHeight="1">
      <c r="A1" s="1" t="s">
        <v>0</v>
      </c>
      <c r="L1" s="2"/>
    </row>
    <row r="2" ht="14.25" customHeight="1">
      <c r="A2" s="3" t="s">
        <v>1</v>
      </c>
      <c r="L2" s="2"/>
    </row>
    <row r="3" ht="14.25" customHeight="1">
      <c r="A3" s="3" t="s">
        <v>2</v>
      </c>
      <c r="L3" s="2"/>
    </row>
    <row r="4" ht="14.25" customHeight="1">
      <c r="L4" s="2"/>
      <c r="M4" s="4"/>
    </row>
    <row r="5" ht="28.5" customHeight="1">
      <c r="A5" s="5" t="s">
        <v>3</v>
      </c>
      <c r="B5" s="6"/>
      <c r="C5" s="6"/>
      <c r="D5" s="6"/>
      <c r="E5" s="6"/>
      <c r="F5" s="6"/>
      <c r="G5" s="6"/>
      <c r="H5" s="6"/>
      <c r="I5" s="6"/>
      <c r="J5" s="7"/>
      <c r="L5" s="2"/>
    </row>
    <row r="6" ht="14.25" customHeight="1">
      <c r="A6" s="8" t="s">
        <v>4</v>
      </c>
      <c r="B6" s="8" t="s">
        <v>5</v>
      </c>
      <c r="C6" s="8" t="s">
        <v>6</v>
      </c>
      <c r="D6" s="8" t="s">
        <v>7</v>
      </c>
      <c r="E6" s="8" t="s">
        <v>8</v>
      </c>
      <c r="F6" s="8" t="s">
        <v>9</v>
      </c>
      <c r="G6" s="8" t="s">
        <v>10</v>
      </c>
      <c r="H6" s="8" t="s">
        <v>11</v>
      </c>
      <c r="I6" s="8" t="s">
        <v>12</v>
      </c>
      <c r="J6" s="8" t="s">
        <v>13</v>
      </c>
      <c r="L6" s="2"/>
    </row>
    <row r="7" ht="14.25" customHeight="1">
      <c r="A7" s="9" t="s">
        <v>14</v>
      </c>
      <c r="B7" s="10" t="s">
        <v>15</v>
      </c>
      <c r="C7" s="11">
        <v>81.741</v>
      </c>
      <c r="D7" s="11">
        <v>79.919</v>
      </c>
      <c r="E7" s="11">
        <v>79.139</v>
      </c>
      <c r="F7" s="11">
        <v>79.591</v>
      </c>
      <c r="G7" s="11">
        <v>77.147</v>
      </c>
      <c r="H7" s="11">
        <v>73.62</v>
      </c>
      <c r="I7" s="12">
        <v>57.35</v>
      </c>
      <c r="J7" s="12">
        <v>60.53</v>
      </c>
      <c r="L7" s="2"/>
    </row>
    <row r="8" ht="14.25" customHeight="1">
      <c r="A8" s="9" t="s">
        <v>16</v>
      </c>
      <c r="B8" s="10" t="s">
        <v>15</v>
      </c>
      <c r="C8" s="13"/>
      <c r="D8" s="13">
        <f t="shared" ref="D8:J8" si="1">D7/C7-1</f>
        <v>-0.02228991571</v>
      </c>
      <c r="E8" s="13">
        <f t="shared" si="1"/>
        <v>-0.00975988188</v>
      </c>
      <c r="F8" s="13">
        <f t="shared" si="1"/>
        <v>0.005711469693</v>
      </c>
      <c r="G8" s="13">
        <f t="shared" si="1"/>
        <v>-0.03070698948</v>
      </c>
      <c r="H8" s="13">
        <f t="shared" si="1"/>
        <v>-0.04571791515</v>
      </c>
      <c r="I8" s="13">
        <f t="shared" si="1"/>
        <v>-0.2209997283</v>
      </c>
      <c r="J8" s="13">
        <f t="shared" si="1"/>
        <v>0.05544899738</v>
      </c>
      <c r="L8" s="2"/>
    </row>
    <row r="9" ht="14.25" customHeight="1">
      <c r="A9" s="9" t="s">
        <v>17</v>
      </c>
      <c r="B9" s="10" t="s">
        <v>15</v>
      </c>
      <c r="C9" s="14">
        <v>13.19</v>
      </c>
      <c r="D9" s="14">
        <v>11.872</v>
      </c>
      <c r="E9" s="11">
        <v>5.753</v>
      </c>
      <c r="F9" s="11">
        <v>8.728</v>
      </c>
      <c r="G9" s="11">
        <v>9.431</v>
      </c>
      <c r="H9" s="14">
        <v>5.59</v>
      </c>
      <c r="I9" s="15">
        <v>5.743</v>
      </c>
      <c r="J9" s="15">
        <v>1.639</v>
      </c>
      <c r="L9" s="2"/>
      <c r="M9" s="4"/>
    </row>
    <row r="10" ht="14.25" customHeight="1">
      <c r="A10" s="13" t="s">
        <v>18</v>
      </c>
      <c r="B10" s="10" t="s">
        <v>15</v>
      </c>
      <c r="C10" s="14">
        <v>4.897</v>
      </c>
      <c r="D10" s="11">
        <v>5.256</v>
      </c>
      <c r="E10" s="11">
        <v>5.506</v>
      </c>
      <c r="F10" s="14">
        <v>5.666</v>
      </c>
      <c r="G10" s="14">
        <v>5.707</v>
      </c>
      <c r="H10" s="14">
        <v>5.797</v>
      </c>
      <c r="I10" s="15">
        <v>5.869</v>
      </c>
      <c r="J10" s="15">
        <v>5.948</v>
      </c>
      <c r="L10" s="2"/>
    </row>
    <row r="11" ht="14.25" customHeight="1">
      <c r="A11" s="9" t="s">
        <v>19</v>
      </c>
      <c r="B11" s="10" t="s">
        <v>15</v>
      </c>
      <c r="C11" s="11">
        <v>14.262</v>
      </c>
      <c r="D11" s="11">
        <v>18.246</v>
      </c>
      <c r="E11" s="11">
        <v>17.594</v>
      </c>
      <c r="F11" s="11">
        <v>16.795</v>
      </c>
      <c r="G11" s="11">
        <v>20.841</v>
      </c>
      <c r="H11" s="11">
        <v>20.598</v>
      </c>
      <c r="I11" s="12">
        <v>18.901</v>
      </c>
      <c r="J11" s="15">
        <v>21.944</v>
      </c>
      <c r="L11" s="2"/>
    </row>
    <row r="12" ht="14.25" customHeight="1">
      <c r="A12" s="10" t="s">
        <v>20</v>
      </c>
      <c r="B12" s="10" t="s">
        <v>15</v>
      </c>
      <c r="C12" s="16">
        <f t="shared" ref="C12:J12" si="2">C10/C9</f>
        <v>0.3712661107</v>
      </c>
      <c r="D12" s="16">
        <f t="shared" si="2"/>
        <v>0.442722372</v>
      </c>
      <c r="E12" s="16">
        <f t="shared" si="2"/>
        <v>0.9570658787</v>
      </c>
      <c r="F12" s="16">
        <f t="shared" si="2"/>
        <v>0.6491750687</v>
      </c>
      <c r="G12" s="16">
        <f t="shared" si="2"/>
        <v>0.6051320115</v>
      </c>
      <c r="H12" s="16">
        <f t="shared" si="2"/>
        <v>1.037030411</v>
      </c>
      <c r="I12" s="16">
        <f t="shared" si="2"/>
        <v>1.021939753</v>
      </c>
      <c r="J12" s="16">
        <f t="shared" si="2"/>
        <v>3.629042099</v>
      </c>
      <c r="K12" s="17"/>
      <c r="L12" s="2"/>
    </row>
    <row r="13" ht="14.25" customHeight="1">
      <c r="A13" s="10" t="s">
        <v>21</v>
      </c>
      <c r="B13" s="10" t="s">
        <v>15</v>
      </c>
      <c r="C13" s="16">
        <f t="shared" ref="C13:J13" si="3">C9/C11</f>
        <v>0.9248352265</v>
      </c>
      <c r="D13" s="16">
        <f t="shared" si="3"/>
        <v>0.650663159</v>
      </c>
      <c r="E13" s="16">
        <f t="shared" si="3"/>
        <v>0.3269864727</v>
      </c>
      <c r="F13" s="16">
        <f t="shared" si="3"/>
        <v>0.5196784757</v>
      </c>
      <c r="G13" s="16">
        <f t="shared" si="3"/>
        <v>0.4525214721</v>
      </c>
      <c r="H13" s="16">
        <f t="shared" si="3"/>
        <v>0.2713855714</v>
      </c>
      <c r="I13" s="16">
        <f t="shared" si="3"/>
        <v>0.3038463573</v>
      </c>
      <c r="J13" s="16">
        <f t="shared" si="3"/>
        <v>0.07469012031</v>
      </c>
      <c r="K13" s="17"/>
      <c r="L13" s="2"/>
    </row>
    <row r="14" ht="14.25" customHeight="1">
      <c r="C14" s="18"/>
      <c r="D14" s="18"/>
      <c r="E14" s="18"/>
      <c r="F14" s="18"/>
      <c r="G14" s="18"/>
      <c r="H14" s="18"/>
      <c r="I14" s="18"/>
      <c r="J14" s="18"/>
      <c r="L14" s="2"/>
    </row>
    <row r="15" ht="14.25" customHeight="1">
      <c r="A15" s="19" t="s">
        <v>22</v>
      </c>
      <c r="B15" s="20"/>
      <c r="C15" s="21">
        <f t="shared" ref="C15:J15" si="4">C13*(1-C12)</f>
        <v>0.5814752489</v>
      </c>
      <c r="D15" s="21">
        <f t="shared" si="4"/>
        <v>0.3626000219</v>
      </c>
      <c r="E15" s="21">
        <f t="shared" si="4"/>
        <v>0.01403887689</v>
      </c>
      <c r="F15" s="21">
        <f t="shared" si="4"/>
        <v>0.1823161655</v>
      </c>
      <c r="G15" s="21">
        <f t="shared" si="4"/>
        <v>0.1786862435</v>
      </c>
      <c r="H15" s="21">
        <f t="shared" si="4"/>
        <v>-0.01004951937</v>
      </c>
      <c r="I15" s="21">
        <f t="shared" si="4"/>
        <v>-0.006666313952</v>
      </c>
      <c r="J15" s="21">
        <f t="shared" si="4"/>
        <v>-0.1963634707</v>
      </c>
      <c r="L15" s="22"/>
    </row>
    <row r="16" ht="14.25" customHeight="1">
      <c r="A16" s="19" t="s">
        <v>23</v>
      </c>
      <c r="B16" s="23">
        <f>((J7/C7)^(1/8))-1</f>
        <v>-0.03685573957</v>
      </c>
      <c r="C16" s="20"/>
      <c r="D16" s="20"/>
      <c r="E16" s="20"/>
      <c r="F16" s="20"/>
      <c r="G16" s="20"/>
      <c r="H16" s="20"/>
      <c r="I16" s="20"/>
      <c r="J16" s="20"/>
      <c r="K16" s="24"/>
      <c r="L16" s="25"/>
    </row>
    <row r="17" ht="14.25" customHeight="1">
      <c r="A17" s="26" t="s">
        <v>24</v>
      </c>
      <c r="B17" s="21">
        <f>AVERAGE(C15:J15)</f>
        <v>0.1382546566</v>
      </c>
      <c r="C17" s="27"/>
      <c r="D17" s="27"/>
      <c r="E17" s="27"/>
      <c r="F17" s="27"/>
      <c r="G17" s="27"/>
      <c r="H17" s="27"/>
      <c r="I17" s="27"/>
      <c r="J17" s="27"/>
      <c r="L17" s="28"/>
    </row>
    <row r="18" ht="14.25" customHeight="1">
      <c r="L18" s="28"/>
    </row>
    <row r="19" ht="30.0" customHeight="1">
      <c r="A19" s="5" t="s">
        <v>25</v>
      </c>
      <c r="B19" s="6"/>
      <c r="C19" s="6"/>
      <c r="D19" s="6"/>
      <c r="E19" s="6"/>
      <c r="F19" s="6"/>
      <c r="G19" s="6"/>
      <c r="H19" s="6"/>
      <c r="I19" s="6"/>
      <c r="J19" s="7"/>
      <c r="K19" s="17"/>
      <c r="L19" s="2"/>
    </row>
    <row r="20" ht="14.25" customHeight="1">
      <c r="A20" s="8" t="s">
        <v>4</v>
      </c>
      <c r="B20" s="8" t="s">
        <v>5</v>
      </c>
      <c r="C20" s="8" t="s">
        <v>6</v>
      </c>
      <c r="D20" s="8" t="s">
        <v>7</v>
      </c>
      <c r="E20" s="8" t="s">
        <v>8</v>
      </c>
      <c r="F20" s="8" t="s">
        <v>9</v>
      </c>
      <c r="G20" s="8" t="s">
        <v>10</v>
      </c>
      <c r="H20" s="8" t="s">
        <v>11</v>
      </c>
      <c r="I20" s="8" t="s">
        <v>12</v>
      </c>
      <c r="J20" s="8" t="s">
        <v>13</v>
      </c>
      <c r="L20" s="2"/>
    </row>
    <row r="21" ht="14.25" customHeight="1">
      <c r="A21" s="10" t="s">
        <v>26</v>
      </c>
      <c r="B21" s="10" t="s">
        <v>15</v>
      </c>
      <c r="C21" s="9">
        <f t="shared" ref="C21:J21" si="5">C22+C24+C26+C28</f>
        <v>79.696</v>
      </c>
      <c r="D21" s="9">
        <f t="shared" si="5"/>
        <v>77.938</v>
      </c>
      <c r="E21" s="9">
        <f t="shared" si="5"/>
        <v>77.272</v>
      </c>
      <c r="F21" s="9">
        <f t="shared" si="5"/>
        <v>74.29</v>
      </c>
      <c r="G21" s="9">
        <f t="shared" si="5"/>
        <v>74.799</v>
      </c>
      <c r="H21" s="9">
        <f t="shared" si="5"/>
        <v>72.319</v>
      </c>
      <c r="I21" s="9">
        <f t="shared" si="5"/>
        <v>56.173</v>
      </c>
      <c r="J21" s="9">
        <f t="shared" si="5"/>
        <v>59.432</v>
      </c>
      <c r="K21" s="17"/>
      <c r="L21" s="2"/>
    </row>
    <row r="22" ht="14.25" customHeight="1">
      <c r="A22" s="10" t="s">
        <v>27</v>
      </c>
      <c r="B22" s="10" t="s">
        <v>28</v>
      </c>
      <c r="C22" s="10">
        <v>17.166</v>
      </c>
      <c r="D22" s="10">
        <v>16.7</v>
      </c>
      <c r="E22" s="10">
        <v>16.348</v>
      </c>
      <c r="F22" s="10">
        <v>16.595</v>
      </c>
      <c r="G22" s="10">
        <v>16.634</v>
      </c>
      <c r="H22" s="10">
        <v>16.257</v>
      </c>
      <c r="I22" s="10">
        <v>17.844</v>
      </c>
      <c r="J22" s="10">
        <v>19.107</v>
      </c>
      <c r="K22" s="17"/>
      <c r="L22" s="2"/>
    </row>
    <row r="23" ht="14.25" customHeight="1">
      <c r="A23" s="10" t="s">
        <v>29</v>
      </c>
      <c r="B23" s="10" t="s">
        <v>28</v>
      </c>
      <c r="C23" s="13">
        <f t="shared" ref="C23:J23" si="6">C22/C21</f>
        <v>0.2153934953</v>
      </c>
      <c r="D23" s="13">
        <f t="shared" si="6"/>
        <v>0.2142728836</v>
      </c>
      <c r="E23" s="13">
        <f t="shared" si="6"/>
        <v>0.2115643441</v>
      </c>
      <c r="F23" s="13">
        <f t="shared" si="6"/>
        <v>0.2233813434</v>
      </c>
      <c r="G23" s="13">
        <f t="shared" si="6"/>
        <v>0.2223826522</v>
      </c>
      <c r="H23" s="13">
        <f t="shared" si="6"/>
        <v>0.2247956968</v>
      </c>
      <c r="I23" s="13">
        <f t="shared" si="6"/>
        <v>0.31766151</v>
      </c>
      <c r="J23" s="13">
        <f t="shared" si="6"/>
        <v>0.3214934715</v>
      </c>
      <c r="K23" s="29"/>
      <c r="L23" s="2"/>
    </row>
    <row r="24" ht="14.25" customHeight="1">
      <c r="A24" s="10" t="s">
        <v>27</v>
      </c>
      <c r="B24" s="10" t="s">
        <v>30</v>
      </c>
      <c r="C24" s="10">
        <v>22.932</v>
      </c>
      <c r="D24" s="10">
        <v>18.187</v>
      </c>
      <c r="E24" s="10">
        <v>18.453</v>
      </c>
      <c r="F24" s="10">
        <v>22.209</v>
      </c>
      <c r="G24" s="10">
        <v>23.2</v>
      </c>
      <c r="H24" s="10">
        <v>22.927</v>
      </c>
      <c r="I24" s="10">
        <v>24.141</v>
      </c>
      <c r="J24" s="10">
        <v>25.037</v>
      </c>
      <c r="K24" s="17"/>
      <c r="L24" s="2"/>
    </row>
    <row r="25" ht="14.25" customHeight="1">
      <c r="A25" s="10" t="s">
        <v>29</v>
      </c>
      <c r="B25" s="10" t="s">
        <v>30</v>
      </c>
      <c r="C25" s="13">
        <f t="shared" ref="C25:J25" si="7">C24/C21</f>
        <v>0.287743425</v>
      </c>
      <c r="D25" s="13">
        <f t="shared" si="7"/>
        <v>0.2333521517</v>
      </c>
      <c r="E25" s="13">
        <f t="shared" si="7"/>
        <v>0.238805777</v>
      </c>
      <c r="F25" s="13">
        <f t="shared" si="7"/>
        <v>0.2989500606</v>
      </c>
      <c r="G25" s="13">
        <f t="shared" si="7"/>
        <v>0.3101645744</v>
      </c>
      <c r="H25" s="13">
        <f t="shared" si="7"/>
        <v>0.3170259545</v>
      </c>
      <c r="I25" s="13">
        <f t="shared" si="7"/>
        <v>0.4297616293</v>
      </c>
      <c r="J25" s="13">
        <f t="shared" si="7"/>
        <v>0.421271369</v>
      </c>
      <c r="K25" s="29"/>
      <c r="L25" s="2"/>
    </row>
    <row r="26" ht="14.25" customHeight="1">
      <c r="A26" s="10" t="s">
        <v>27</v>
      </c>
      <c r="B26" s="10" t="s">
        <v>31</v>
      </c>
      <c r="C26" s="10">
        <v>12.791</v>
      </c>
      <c r="D26" s="10">
        <v>12.924000000000001</v>
      </c>
      <c r="E26" s="10">
        <v>13.404000000000002</v>
      </c>
      <c r="F26" s="10">
        <v>11.55</v>
      </c>
      <c r="G26" s="10">
        <v>12.814</v>
      </c>
      <c r="H26" s="10">
        <v>13.323</v>
      </c>
      <c r="I26" s="10">
        <v>14.188</v>
      </c>
      <c r="J26" s="10">
        <v>15.288</v>
      </c>
      <c r="K26" s="17"/>
      <c r="L26" s="2"/>
    </row>
    <row r="27" ht="14.25" customHeight="1">
      <c r="A27" s="10" t="s">
        <v>29</v>
      </c>
      <c r="B27" s="10" t="s">
        <v>31</v>
      </c>
      <c r="C27" s="13">
        <f t="shared" ref="C27:J27" si="8">C26/C21</f>
        <v>0.1604973901</v>
      </c>
      <c r="D27" s="13">
        <f t="shared" si="8"/>
        <v>0.1658241166</v>
      </c>
      <c r="E27" s="13">
        <f t="shared" si="8"/>
        <v>0.173465162</v>
      </c>
      <c r="F27" s="13">
        <f t="shared" si="8"/>
        <v>0.1554717997</v>
      </c>
      <c r="G27" s="13">
        <f t="shared" si="8"/>
        <v>0.1713124507</v>
      </c>
      <c r="H27" s="13">
        <f t="shared" si="8"/>
        <v>0.1842254456</v>
      </c>
      <c r="I27" s="13">
        <f t="shared" si="8"/>
        <v>0.2525768608</v>
      </c>
      <c r="J27" s="13">
        <f t="shared" si="8"/>
        <v>0.2572351595</v>
      </c>
      <c r="K27" s="29"/>
      <c r="L27" s="2"/>
    </row>
    <row r="28" ht="14.25" customHeight="1">
      <c r="A28" s="10" t="s">
        <v>27</v>
      </c>
      <c r="B28" s="10" t="s">
        <v>32</v>
      </c>
      <c r="C28" s="10">
        <v>26.807000000000002</v>
      </c>
      <c r="D28" s="10">
        <v>30.127000000000002</v>
      </c>
      <c r="E28" s="10">
        <v>29.067</v>
      </c>
      <c r="F28" s="10">
        <v>23.936</v>
      </c>
      <c r="G28" s="10">
        <v>22.151</v>
      </c>
      <c r="H28" s="10">
        <v>19.812</v>
      </c>
      <c r="I28" s="12">
        <v>0.0</v>
      </c>
      <c r="J28" s="12">
        <v>0.0</v>
      </c>
      <c r="K28" s="17"/>
      <c r="L28" s="2"/>
    </row>
    <row r="29" ht="14.25" customHeight="1">
      <c r="A29" s="10" t="s">
        <v>29</v>
      </c>
      <c r="B29" s="10" t="s">
        <v>32</v>
      </c>
      <c r="C29" s="30">
        <f t="shared" ref="C29:J29" si="9">C28/C21</f>
        <v>0.3363656896</v>
      </c>
      <c r="D29" s="30">
        <f t="shared" si="9"/>
        <v>0.3865508481</v>
      </c>
      <c r="E29" s="30">
        <f t="shared" si="9"/>
        <v>0.3761647168</v>
      </c>
      <c r="F29" s="30">
        <f t="shared" si="9"/>
        <v>0.3221967963</v>
      </c>
      <c r="G29" s="30">
        <f t="shared" si="9"/>
        <v>0.2961403227</v>
      </c>
      <c r="H29" s="30">
        <f t="shared" si="9"/>
        <v>0.2739529031</v>
      </c>
      <c r="I29" s="30">
        <f t="shared" si="9"/>
        <v>0</v>
      </c>
      <c r="J29" s="30">
        <f t="shared" si="9"/>
        <v>0</v>
      </c>
      <c r="K29" s="29"/>
      <c r="L29" s="2"/>
    </row>
    <row r="30" ht="48.0" customHeight="1">
      <c r="A30" s="31" t="s">
        <v>33</v>
      </c>
      <c r="L30" s="2"/>
    </row>
    <row r="31" ht="14.25" customHeight="1">
      <c r="L31" s="2"/>
    </row>
    <row r="32" ht="27.75" customHeight="1">
      <c r="A32" s="5" t="s">
        <v>34</v>
      </c>
      <c r="B32" s="6"/>
      <c r="C32" s="6"/>
      <c r="D32" s="6"/>
      <c r="E32" s="6"/>
      <c r="F32" s="6"/>
      <c r="G32" s="6"/>
      <c r="H32" s="6"/>
      <c r="I32" s="6"/>
      <c r="J32" s="7"/>
      <c r="L32" s="2"/>
    </row>
    <row r="33" ht="14.25" customHeight="1">
      <c r="A33" s="8" t="s">
        <v>35</v>
      </c>
      <c r="B33" s="8" t="s">
        <v>36</v>
      </c>
      <c r="C33" s="8" t="s">
        <v>6</v>
      </c>
      <c r="D33" s="8" t="s">
        <v>7</v>
      </c>
      <c r="E33" s="8" t="s">
        <v>8</v>
      </c>
      <c r="F33" s="8" t="s">
        <v>9</v>
      </c>
      <c r="G33" s="8" t="s">
        <v>10</v>
      </c>
      <c r="H33" s="8" t="s">
        <v>11</v>
      </c>
      <c r="I33" s="8" t="s">
        <v>12</v>
      </c>
      <c r="J33" s="8" t="s">
        <v>13</v>
      </c>
      <c r="L33" s="2"/>
    </row>
    <row r="34" ht="14.25" customHeight="1">
      <c r="A34" s="10" t="s">
        <v>28</v>
      </c>
      <c r="B34" s="32" t="s">
        <v>37</v>
      </c>
      <c r="C34" s="12">
        <v>12.2</v>
      </c>
      <c r="D34" s="12">
        <v>13.1</v>
      </c>
      <c r="E34" s="12">
        <v>14.3</v>
      </c>
      <c r="F34" s="12">
        <v>16.5</v>
      </c>
      <c r="G34" s="12">
        <v>18.7</v>
      </c>
      <c r="H34" s="12">
        <v>19.8</v>
      </c>
      <c r="I34" s="12">
        <v>20.8</v>
      </c>
      <c r="J34" s="12">
        <v>25.8</v>
      </c>
      <c r="L34" s="2"/>
    </row>
    <row r="35" ht="14.25" customHeight="1">
      <c r="A35" s="10" t="s">
        <v>28</v>
      </c>
      <c r="B35" s="10" t="s">
        <v>38</v>
      </c>
      <c r="C35" s="12">
        <v>11.235</v>
      </c>
      <c r="D35" s="12">
        <v>11.531</v>
      </c>
      <c r="E35" s="12">
        <v>12.253</v>
      </c>
      <c r="F35" s="12">
        <v>13.778</v>
      </c>
      <c r="G35" s="12">
        <v>14.396</v>
      </c>
      <c r="H35" s="12">
        <v>14.681</v>
      </c>
      <c r="I35" s="12">
        <v>17.029</v>
      </c>
      <c r="J35" s="12">
        <v>20.708</v>
      </c>
      <c r="L35" s="2"/>
    </row>
    <row r="36" ht="14.25" customHeight="1">
      <c r="A36" s="10" t="s">
        <v>28</v>
      </c>
      <c r="B36" s="10" t="s">
        <v>39</v>
      </c>
      <c r="C36" s="12">
        <v>0.52</v>
      </c>
      <c r="D36" s="12">
        <v>0.5272</v>
      </c>
      <c r="E36" s="12">
        <v>0.751</v>
      </c>
      <c r="F36" s="12">
        <v>0.9066000000000001</v>
      </c>
      <c r="G36" s="12">
        <v>1.1095</v>
      </c>
      <c r="H36" s="12">
        <v>1.3559</v>
      </c>
      <c r="I36" s="12">
        <v>1.4462000000000002</v>
      </c>
      <c r="J36" s="12">
        <v>1.8872</v>
      </c>
      <c r="L36" s="2"/>
    </row>
    <row r="37" ht="14.25" customHeight="1">
      <c r="A37" s="10" t="s">
        <v>30</v>
      </c>
      <c r="B37" s="10" t="s">
        <v>40</v>
      </c>
      <c r="C37" s="12">
        <v>3.622</v>
      </c>
      <c r="D37" s="12">
        <v>3.195</v>
      </c>
      <c r="E37" s="12">
        <v>2.722</v>
      </c>
      <c r="F37" s="12">
        <v>2.92</v>
      </c>
      <c r="G37" s="12">
        <v>2.837</v>
      </c>
      <c r="H37" s="12">
        <v>2.872</v>
      </c>
      <c r="I37" s="12">
        <v>3.302</v>
      </c>
      <c r="J37" s="12">
        <v>3.674</v>
      </c>
      <c r="L37" s="2"/>
    </row>
    <row r="38" ht="14.25" customHeight="1">
      <c r="A38" s="10" t="s">
        <v>30</v>
      </c>
      <c r="B38" s="32" t="s">
        <v>41</v>
      </c>
      <c r="C38" s="12">
        <v>5.373586</v>
      </c>
      <c r="D38" s="12">
        <v>6.667216000000001</v>
      </c>
      <c r="E38" s="12">
        <v>8.391984</v>
      </c>
      <c r="F38" s="12">
        <v>10.480012</v>
      </c>
      <c r="G38" s="12">
        <v>13.282</v>
      </c>
      <c r="H38" s="12">
        <v>17.098</v>
      </c>
      <c r="I38" s="12">
        <v>21.252</v>
      </c>
      <c r="J38" s="12">
        <v>26.492</v>
      </c>
      <c r="L38" s="2"/>
    </row>
    <row r="39" ht="14.25" customHeight="1">
      <c r="A39" s="10" t="s">
        <v>31</v>
      </c>
      <c r="B39" s="10" t="s">
        <v>42</v>
      </c>
      <c r="C39" s="12">
        <v>7.88</v>
      </c>
      <c r="D39" s="12">
        <v>12.219</v>
      </c>
      <c r="E39" s="12">
        <v>17.459</v>
      </c>
      <c r="F39" s="12">
        <v>25.655</v>
      </c>
      <c r="G39" s="12">
        <v>35.026</v>
      </c>
      <c r="H39" s="12">
        <v>45.37</v>
      </c>
      <c r="I39" s="12">
        <v>62.202</v>
      </c>
      <c r="J39" s="12">
        <v>80.086</v>
      </c>
      <c r="L39" s="2"/>
    </row>
    <row r="40" ht="14.25" customHeight="1">
      <c r="A40" s="10" t="s">
        <v>31</v>
      </c>
      <c r="B40" s="10" t="s">
        <v>43</v>
      </c>
      <c r="C40" s="12">
        <v>23.715</v>
      </c>
      <c r="D40" s="12">
        <v>25.042</v>
      </c>
      <c r="E40" s="12">
        <v>27.44</v>
      </c>
      <c r="F40" s="12">
        <v>32.219</v>
      </c>
      <c r="G40" s="12">
        <v>38.985</v>
      </c>
      <c r="H40" s="12">
        <v>48.366</v>
      </c>
      <c r="I40" s="12">
        <v>60.08</v>
      </c>
      <c r="J40" s="12">
        <v>75.251</v>
      </c>
      <c r="L40" s="2"/>
    </row>
    <row r="41" ht="14.25" customHeight="1">
      <c r="A41" s="10" t="s">
        <v>32</v>
      </c>
      <c r="B41" s="10" t="s">
        <v>44</v>
      </c>
      <c r="C41" s="12">
        <v>14.71</v>
      </c>
      <c r="D41" s="12">
        <v>14.978</v>
      </c>
      <c r="E41" s="12">
        <v>21.776</v>
      </c>
      <c r="F41" s="12">
        <v>30.652</v>
      </c>
      <c r="G41" s="12">
        <v>36.72</v>
      </c>
      <c r="H41" s="12">
        <v>33.969</v>
      </c>
      <c r="I41" s="12">
        <v>33.002</v>
      </c>
      <c r="J41" s="12">
        <v>34.366</v>
      </c>
      <c r="L41" s="2"/>
    </row>
    <row r="42" ht="14.25" customHeight="1">
      <c r="A42" s="10" t="s">
        <v>32</v>
      </c>
      <c r="B42" s="32" t="s">
        <v>45</v>
      </c>
      <c r="C42" s="12">
        <v>38.226</v>
      </c>
      <c r="D42" s="12">
        <v>37.047</v>
      </c>
      <c r="E42" s="12">
        <v>37.728</v>
      </c>
      <c r="F42" s="12">
        <v>39.831</v>
      </c>
      <c r="G42" s="12">
        <v>39.506</v>
      </c>
      <c r="H42" s="12">
        <v>39.068</v>
      </c>
      <c r="I42" s="12">
        <v>40.479</v>
      </c>
      <c r="J42" s="12">
        <v>42.44</v>
      </c>
      <c r="L42" s="2"/>
    </row>
    <row r="43" ht="14.25" customHeight="1">
      <c r="L43" s="2"/>
    </row>
    <row r="44" ht="14.25" customHeight="1">
      <c r="A44" s="8" t="s">
        <v>46</v>
      </c>
      <c r="B44" s="8"/>
      <c r="C44" s="8" t="s">
        <v>6</v>
      </c>
      <c r="D44" s="8" t="s">
        <v>7</v>
      </c>
      <c r="E44" s="8" t="s">
        <v>8</v>
      </c>
      <c r="F44" s="8" t="s">
        <v>9</v>
      </c>
      <c r="G44" s="8" t="s">
        <v>10</v>
      </c>
      <c r="H44" s="8" t="s">
        <v>11</v>
      </c>
      <c r="I44" s="8" t="s">
        <v>12</v>
      </c>
      <c r="J44" s="8" t="s">
        <v>13</v>
      </c>
      <c r="L44" s="2"/>
    </row>
    <row r="45" ht="14.25" customHeight="1">
      <c r="A45" s="33" t="s">
        <v>28</v>
      </c>
      <c r="B45" s="33"/>
      <c r="C45" s="34">
        <f t="shared" ref="C45:J45" si="10">AVERAGE(C34:C36)</f>
        <v>7.985</v>
      </c>
      <c r="D45" s="34">
        <f t="shared" si="10"/>
        <v>8.386066667</v>
      </c>
      <c r="E45" s="34">
        <f t="shared" si="10"/>
        <v>9.101333333</v>
      </c>
      <c r="F45" s="34">
        <f t="shared" si="10"/>
        <v>10.39486667</v>
      </c>
      <c r="G45" s="34">
        <f t="shared" si="10"/>
        <v>11.40183333</v>
      </c>
      <c r="H45" s="34">
        <f t="shared" si="10"/>
        <v>11.94563333</v>
      </c>
      <c r="I45" s="34">
        <f t="shared" si="10"/>
        <v>13.09173333</v>
      </c>
      <c r="J45" s="34">
        <f t="shared" si="10"/>
        <v>16.13173333</v>
      </c>
      <c r="L45" s="2"/>
    </row>
    <row r="46" ht="14.25" customHeight="1">
      <c r="A46" s="33" t="s">
        <v>30</v>
      </c>
      <c r="B46" s="35"/>
      <c r="C46" s="34">
        <f t="shared" ref="C46:J46" si="11">AVERAGE(C37:C38)</f>
        <v>4.497793</v>
      </c>
      <c r="D46" s="34">
        <f t="shared" si="11"/>
        <v>4.931108</v>
      </c>
      <c r="E46" s="34">
        <f t="shared" si="11"/>
        <v>5.556992</v>
      </c>
      <c r="F46" s="34">
        <f t="shared" si="11"/>
        <v>6.700006</v>
      </c>
      <c r="G46" s="34">
        <f t="shared" si="11"/>
        <v>8.0595</v>
      </c>
      <c r="H46" s="34">
        <f t="shared" si="11"/>
        <v>9.985</v>
      </c>
      <c r="I46" s="34">
        <f t="shared" si="11"/>
        <v>12.277</v>
      </c>
      <c r="J46" s="34">
        <f t="shared" si="11"/>
        <v>15.083</v>
      </c>
      <c r="L46" s="2"/>
    </row>
    <row r="47" ht="14.25" customHeight="1">
      <c r="A47" s="33" t="s">
        <v>31</v>
      </c>
      <c r="B47" s="33"/>
      <c r="C47" s="34">
        <f t="shared" ref="C47:J47" si="12">AVERAGE(C39:C40)</f>
        <v>15.7975</v>
      </c>
      <c r="D47" s="34">
        <f t="shared" si="12"/>
        <v>18.6305</v>
      </c>
      <c r="E47" s="34">
        <f t="shared" si="12"/>
        <v>22.4495</v>
      </c>
      <c r="F47" s="34">
        <f t="shared" si="12"/>
        <v>28.937</v>
      </c>
      <c r="G47" s="34">
        <f t="shared" si="12"/>
        <v>37.0055</v>
      </c>
      <c r="H47" s="34">
        <f t="shared" si="12"/>
        <v>46.868</v>
      </c>
      <c r="I47" s="34">
        <f t="shared" si="12"/>
        <v>61.141</v>
      </c>
      <c r="J47" s="34">
        <f t="shared" si="12"/>
        <v>77.6685</v>
      </c>
      <c r="L47" s="2"/>
    </row>
    <row r="48" ht="14.25" customHeight="1">
      <c r="A48" s="33" t="s">
        <v>32</v>
      </c>
      <c r="B48" s="33"/>
      <c r="C48" s="34">
        <f t="shared" ref="C48:J48" si="13">AVERAGE(C41:C42)</f>
        <v>26.468</v>
      </c>
      <c r="D48" s="34">
        <f t="shared" si="13"/>
        <v>26.0125</v>
      </c>
      <c r="E48" s="34">
        <f t="shared" si="13"/>
        <v>29.752</v>
      </c>
      <c r="F48" s="34">
        <f t="shared" si="13"/>
        <v>35.2415</v>
      </c>
      <c r="G48" s="34">
        <f t="shared" si="13"/>
        <v>38.113</v>
      </c>
      <c r="H48" s="34">
        <f t="shared" si="13"/>
        <v>36.5185</v>
      </c>
      <c r="I48" s="34">
        <f t="shared" si="13"/>
        <v>36.7405</v>
      </c>
      <c r="J48" s="34">
        <f t="shared" si="13"/>
        <v>38.403</v>
      </c>
      <c r="L48" s="2"/>
    </row>
    <row r="49" ht="14.25" customHeight="1">
      <c r="L49" s="2"/>
    </row>
    <row r="50" ht="14.25" customHeight="1">
      <c r="A50" s="36" t="s">
        <v>47</v>
      </c>
      <c r="B50" s="37"/>
      <c r="C50" s="8" t="s">
        <v>6</v>
      </c>
      <c r="D50" s="8" t="s">
        <v>7</v>
      </c>
      <c r="E50" s="8" t="s">
        <v>8</v>
      </c>
      <c r="F50" s="8" t="s">
        <v>9</v>
      </c>
      <c r="G50" s="8" t="s">
        <v>10</v>
      </c>
      <c r="H50" s="8" t="s">
        <v>11</v>
      </c>
      <c r="I50" s="8" t="s">
        <v>12</v>
      </c>
      <c r="J50" s="8" t="s">
        <v>13</v>
      </c>
      <c r="K50" s="38"/>
      <c r="L50" s="39"/>
      <c r="M50" s="38"/>
      <c r="N50" s="38"/>
      <c r="O50" s="38"/>
      <c r="P50" s="38"/>
      <c r="Q50" s="38"/>
      <c r="R50" s="38"/>
      <c r="S50" s="38"/>
      <c r="T50" s="38"/>
      <c r="U50" s="38"/>
      <c r="V50" s="38"/>
      <c r="W50" s="38"/>
      <c r="X50" s="38"/>
      <c r="Y50" s="38"/>
      <c r="Z50" s="38"/>
    </row>
    <row r="51" ht="14.25" customHeight="1">
      <c r="A51" s="40" t="s">
        <v>28</v>
      </c>
      <c r="B51" s="33"/>
      <c r="C51" s="41"/>
      <c r="D51" s="42">
        <f t="shared" ref="D51:J51" si="14">(D45/C45)-1</f>
        <v>0.05022750991</v>
      </c>
      <c r="E51" s="43">
        <f t="shared" si="14"/>
        <v>0.08529227051</v>
      </c>
      <c r="F51" s="43">
        <f t="shared" si="14"/>
        <v>0.1421256959</v>
      </c>
      <c r="G51" s="43">
        <f t="shared" si="14"/>
        <v>0.09687153274</v>
      </c>
      <c r="H51" s="43">
        <f t="shared" si="14"/>
        <v>0.04769408428</v>
      </c>
      <c r="I51" s="43">
        <f t="shared" si="14"/>
        <v>0.09594300846</v>
      </c>
      <c r="J51" s="43">
        <f t="shared" si="14"/>
        <v>0.2322076017</v>
      </c>
      <c r="K51" s="38"/>
      <c r="L51" s="39"/>
      <c r="M51" s="38"/>
      <c r="N51" s="38"/>
      <c r="O51" s="38"/>
      <c r="P51" s="38"/>
      <c r="Q51" s="38"/>
      <c r="R51" s="38"/>
      <c r="S51" s="38"/>
      <c r="T51" s="38"/>
      <c r="U51" s="38"/>
      <c r="V51" s="38"/>
      <c r="W51" s="38"/>
      <c r="X51" s="38"/>
      <c r="Y51" s="38"/>
      <c r="Z51" s="38"/>
    </row>
    <row r="52" ht="14.25" customHeight="1">
      <c r="A52" s="40" t="s">
        <v>30</v>
      </c>
      <c r="B52" s="33"/>
      <c r="C52" s="41"/>
      <c r="D52" s="43">
        <f t="shared" ref="D52:J52" si="15">(D46/C46)-1</f>
        <v>0.09633947138</v>
      </c>
      <c r="E52" s="43">
        <f t="shared" si="15"/>
        <v>0.1269256321</v>
      </c>
      <c r="F52" s="43">
        <f t="shared" si="15"/>
        <v>0.205689337</v>
      </c>
      <c r="G52" s="43">
        <f t="shared" si="15"/>
        <v>0.2029093705</v>
      </c>
      <c r="H52" s="43">
        <f t="shared" si="15"/>
        <v>0.2389106024</v>
      </c>
      <c r="I52" s="43">
        <f t="shared" si="15"/>
        <v>0.2295443165</v>
      </c>
      <c r="J52" s="43">
        <f t="shared" si="15"/>
        <v>0.2285574652</v>
      </c>
      <c r="K52" s="38"/>
      <c r="L52" s="39"/>
      <c r="M52" s="38"/>
      <c r="N52" s="38"/>
      <c r="O52" s="38"/>
      <c r="P52" s="38"/>
      <c r="Q52" s="38"/>
      <c r="R52" s="38"/>
      <c r="S52" s="38"/>
      <c r="T52" s="38"/>
      <c r="U52" s="38"/>
      <c r="V52" s="38"/>
      <c r="W52" s="38"/>
      <c r="X52" s="38"/>
      <c r="Y52" s="38"/>
      <c r="Z52" s="38"/>
    </row>
    <row r="53" ht="14.25" customHeight="1">
      <c r="A53" s="40" t="s">
        <v>31</v>
      </c>
      <c r="B53" s="33"/>
      <c r="C53" s="41"/>
      <c r="D53" s="43">
        <f t="shared" ref="D53:J53" si="16">(D47/C47)-1</f>
        <v>0.1793321728</v>
      </c>
      <c r="E53" s="43">
        <f t="shared" si="16"/>
        <v>0.204986447</v>
      </c>
      <c r="F53" s="43">
        <f t="shared" si="16"/>
        <v>0.2889819372</v>
      </c>
      <c r="G53" s="43">
        <f t="shared" si="16"/>
        <v>0.2788298718</v>
      </c>
      <c r="H53" s="43">
        <f t="shared" si="16"/>
        <v>0.266514437</v>
      </c>
      <c r="I53" s="43">
        <f t="shared" si="16"/>
        <v>0.3045361441</v>
      </c>
      <c r="J53" s="43">
        <f t="shared" si="16"/>
        <v>0.27031779</v>
      </c>
      <c r="K53" s="38"/>
      <c r="L53" s="39"/>
      <c r="M53" s="38"/>
      <c r="N53" s="38"/>
      <c r="O53" s="38"/>
      <c r="P53" s="38"/>
      <c r="Q53" s="38"/>
      <c r="R53" s="38"/>
      <c r="S53" s="38"/>
      <c r="T53" s="38"/>
      <c r="U53" s="38"/>
      <c r="V53" s="38"/>
      <c r="W53" s="38"/>
      <c r="X53" s="38"/>
      <c r="Y53" s="38"/>
      <c r="Z53" s="38"/>
    </row>
    <row r="54" ht="14.25" customHeight="1">
      <c r="A54" s="40" t="s">
        <v>32</v>
      </c>
      <c r="B54" s="33"/>
      <c r="C54" s="41"/>
      <c r="D54" s="43">
        <f t="shared" ref="D54:J54" si="17">(D48/C48)-1</f>
        <v>-0.01720946048</v>
      </c>
      <c r="E54" s="43">
        <f t="shared" si="17"/>
        <v>0.1437578087</v>
      </c>
      <c r="F54" s="43">
        <f t="shared" si="17"/>
        <v>0.1845086045</v>
      </c>
      <c r="G54" s="43">
        <f t="shared" si="17"/>
        <v>0.08148064072</v>
      </c>
      <c r="H54" s="43">
        <f t="shared" si="17"/>
        <v>-0.04183611891</v>
      </c>
      <c r="I54" s="43">
        <f t="shared" si="17"/>
        <v>0.006079110588</v>
      </c>
      <c r="J54" s="43">
        <f t="shared" si="17"/>
        <v>0.04524979246</v>
      </c>
      <c r="K54" s="38"/>
      <c r="L54" s="39"/>
      <c r="M54" s="38"/>
      <c r="N54" s="38"/>
      <c r="O54" s="38"/>
      <c r="P54" s="38"/>
      <c r="Q54" s="38"/>
      <c r="R54" s="38"/>
      <c r="S54" s="38"/>
      <c r="T54" s="38"/>
      <c r="U54" s="38"/>
      <c r="V54" s="38"/>
      <c r="W54" s="38"/>
      <c r="X54" s="38"/>
      <c r="Y54" s="38"/>
      <c r="Z54" s="38"/>
    </row>
    <row r="55" ht="14.25" customHeight="1">
      <c r="L55" s="2"/>
    </row>
    <row r="56" ht="14.25" customHeight="1">
      <c r="A56" s="36" t="s">
        <v>48</v>
      </c>
      <c r="B56" s="37"/>
      <c r="C56" s="8" t="s">
        <v>6</v>
      </c>
      <c r="D56" s="8" t="s">
        <v>7</v>
      </c>
      <c r="E56" s="8" t="s">
        <v>8</v>
      </c>
      <c r="F56" s="8" t="s">
        <v>9</v>
      </c>
      <c r="G56" s="8" t="s">
        <v>10</v>
      </c>
      <c r="H56" s="8" t="s">
        <v>11</v>
      </c>
      <c r="I56" s="8" t="s">
        <v>12</v>
      </c>
      <c r="J56" s="8" t="s">
        <v>13</v>
      </c>
      <c r="K56" s="38"/>
      <c r="L56" s="39"/>
      <c r="M56" s="38"/>
      <c r="N56" s="38"/>
      <c r="O56" s="38"/>
      <c r="P56" s="38"/>
      <c r="Q56" s="38"/>
      <c r="R56" s="38"/>
      <c r="S56" s="38"/>
      <c r="T56" s="38"/>
      <c r="U56" s="38"/>
      <c r="V56" s="38"/>
      <c r="W56" s="38"/>
      <c r="X56" s="38"/>
      <c r="Y56" s="38"/>
      <c r="Z56" s="38"/>
    </row>
    <row r="57" ht="14.25" customHeight="1">
      <c r="A57" s="40" t="s">
        <v>28</v>
      </c>
      <c r="B57" s="40"/>
      <c r="C57" s="44"/>
      <c r="D57" s="44">
        <f t="shared" ref="D57:J57" si="18">D23</f>
        <v>0.2142728836</v>
      </c>
      <c r="E57" s="44">
        <f t="shared" si="18"/>
        <v>0.2115643441</v>
      </c>
      <c r="F57" s="44">
        <f t="shared" si="18"/>
        <v>0.2233813434</v>
      </c>
      <c r="G57" s="44">
        <f t="shared" si="18"/>
        <v>0.2223826522</v>
      </c>
      <c r="H57" s="44">
        <f t="shared" si="18"/>
        <v>0.2247956968</v>
      </c>
      <c r="I57" s="44">
        <f t="shared" si="18"/>
        <v>0.31766151</v>
      </c>
      <c r="J57" s="44">
        <f t="shared" si="18"/>
        <v>0.3214934715</v>
      </c>
      <c r="K57" s="38"/>
      <c r="L57" s="39"/>
      <c r="M57" s="38"/>
      <c r="N57" s="38"/>
      <c r="O57" s="38"/>
      <c r="P57" s="38"/>
      <c r="Q57" s="38"/>
      <c r="R57" s="38"/>
      <c r="S57" s="38"/>
      <c r="T57" s="38"/>
      <c r="U57" s="38"/>
      <c r="V57" s="38"/>
      <c r="W57" s="38"/>
      <c r="X57" s="38"/>
      <c r="Y57" s="38"/>
      <c r="Z57" s="38"/>
    </row>
    <row r="58" ht="14.25" customHeight="1">
      <c r="A58" s="40" t="s">
        <v>30</v>
      </c>
      <c r="B58" s="40"/>
      <c r="C58" s="44"/>
      <c r="D58" s="44">
        <f t="shared" ref="D58:J58" si="19">D25</f>
        <v>0.2333521517</v>
      </c>
      <c r="E58" s="44">
        <f t="shared" si="19"/>
        <v>0.238805777</v>
      </c>
      <c r="F58" s="44">
        <f t="shared" si="19"/>
        <v>0.2989500606</v>
      </c>
      <c r="G58" s="44">
        <f t="shared" si="19"/>
        <v>0.3101645744</v>
      </c>
      <c r="H58" s="44">
        <f t="shared" si="19"/>
        <v>0.3170259545</v>
      </c>
      <c r="I58" s="44">
        <f t="shared" si="19"/>
        <v>0.4297616293</v>
      </c>
      <c r="J58" s="44">
        <f t="shared" si="19"/>
        <v>0.421271369</v>
      </c>
      <c r="K58" s="38"/>
      <c r="L58" s="39"/>
      <c r="M58" s="38"/>
      <c r="N58" s="38"/>
      <c r="O58" s="38"/>
      <c r="P58" s="38"/>
      <c r="Q58" s="38"/>
      <c r="R58" s="38"/>
      <c r="S58" s="38"/>
      <c r="T58" s="38"/>
      <c r="U58" s="38"/>
      <c r="V58" s="38"/>
      <c r="W58" s="38"/>
      <c r="X58" s="38"/>
      <c r="Y58" s="38"/>
      <c r="Z58" s="38"/>
    </row>
    <row r="59" ht="14.25" customHeight="1">
      <c r="A59" s="40" t="s">
        <v>31</v>
      </c>
      <c r="B59" s="40"/>
      <c r="C59" s="44"/>
      <c r="D59" s="44">
        <f t="shared" ref="D59:J59" si="20">D27</f>
        <v>0.1658241166</v>
      </c>
      <c r="E59" s="44">
        <f t="shared" si="20"/>
        <v>0.173465162</v>
      </c>
      <c r="F59" s="44">
        <f t="shared" si="20"/>
        <v>0.1554717997</v>
      </c>
      <c r="G59" s="44">
        <f t="shared" si="20"/>
        <v>0.1713124507</v>
      </c>
      <c r="H59" s="44">
        <f t="shared" si="20"/>
        <v>0.1842254456</v>
      </c>
      <c r="I59" s="44">
        <f t="shared" si="20"/>
        <v>0.2525768608</v>
      </c>
      <c r="J59" s="44">
        <f t="shared" si="20"/>
        <v>0.2572351595</v>
      </c>
      <c r="K59" s="38"/>
      <c r="L59" s="39"/>
      <c r="M59" s="38"/>
      <c r="N59" s="38"/>
      <c r="O59" s="38"/>
      <c r="P59" s="38"/>
      <c r="Q59" s="38"/>
      <c r="R59" s="38"/>
      <c r="S59" s="38"/>
      <c r="T59" s="38"/>
      <c r="U59" s="38"/>
      <c r="V59" s="38"/>
      <c r="W59" s="38"/>
      <c r="X59" s="38"/>
      <c r="Y59" s="38"/>
      <c r="Z59" s="38"/>
    </row>
    <row r="60" ht="14.25" customHeight="1">
      <c r="A60" s="40" t="s">
        <v>32</v>
      </c>
      <c r="B60" s="40"/>
      <c r="C60" s="44"/>
      <c r="D60" s="44">
        <f t="shared" ref="D60:J60" si="21">D29</f>
        <v>0.3865508481</v>
      </c>
      <c r="E60" s="44">
        <f t="shared" si="21"/>
        <v>0.3761647168</v>
      </c>
      <c r="F60" s="44">
        <f t="shared" si="21"/>
        <v>0.3221967963</v>
      </c>
      <c r="G60" s="44">
        <f t="shared" si="21"/>
        <v>0.2961403227</v>
      </c>
      <c r="H60" s="44">
        <f t="shared" si="21"/>
        <v>0.2739529031</v>
      </c>
      <c r="I60" s="44">
        <f t="shared" si="21"/>
        <v>0</v>
      </c>
      <c r="J60" s="44">
        <f t="shared" si="21"/>
        <v>0</v>
      </c>
      <c r="K60" s="38"/>
      <c r="L60" s="39"/>
      <c r="M60" s="38"/>
      <c r="N60" s="38"/>
      <c r="O60" s="38"/>
      <c r="P60" s="38"/>
      <c r="Q60" s="38"/>
      <c r="R60" s="38"/>
      <c r="S60" s="38"/>
      <c r="T60" s="38"/>
      <c r="U60" s="38"/>
      <c r="V60" s="38"/>
      <c r="W60" s="38"/>
      <c r="X60" s="38"/>
      <c r="Y60" s="38"/>
      <c r="Z60" s="38"/>
    </row>
    <row r="61" ht="14.25" customHeight="1">
      <c r="L61" s="2"/>
    </row>
    <row r="62" ht="14.25" customHeight="1">
      <c r="A62" s="45" t="s">
        <v>49</v>
      </c>
      <c r="B62" s="46"/>
      <c r="C62" s="46"/>
      <c r="D62" s="47">
        <f t="shared" ref="D62:J62" si="22">(D51*D57)+(D52*D58)+(D53*D59)+(D54*D60)</f>
        <v>0.05632868392</v>
      </c>
      <c r="E62" s="47">
        <f t="shared" si="22"/>
        <v>0.1379900001</v>
      </c>
      <c r="F62" s="47">
        <f t="shared" si="22"/>
        <v>0.1976156917</v>
      </c>
      <c r="G62" s="47">
        <f t="shared" si="22"/>
        <v>0.1563745788</v>
      </c>
      <c r="H62" s="47">
        <f t="shared" si="22"/>
        <v>0.1240999014</v>
      </c>
      <c r="I62" s="47">
        <f t="shared" si="22"/>
        <v>0.2060455236</v>
      </c>
      <c r="J62" s="47">
        <f t="shared" si="22"/>
        <v>0.2404731841</v>
      </c>
      <c r="K62" s="38"/>
      <c r="L62" s="39"/>
      <c r="M62" s="38"/>
      <c r="N62" s="38"/>
      <c r="O62" s="38"/>
      <c r="P62" s="38"/>
      <c r="Q62" s="38"/>
      <c r="R62" s="38"/>
      <c r="S62" s="38"/>
      <c r="T62" s="38"/>
      <c r="U62" s="38"/>
      <c r="V62" s="38"/>
      <c r="W62" s="38"/>
      <c r="X62" s="38"/>
      <c r="Y62" s="38"/>
      <c r="Z62" s="38"/>
    </row>
    <row r="63" ht="14.25" customHeight="1">
      <c r="L63" s="2"/>
    </row>
    <row r="64" ht="14.25" customHeight="1">
      <c r="D64" s="48"/>
      <c r="L64" s="2"/>
    </row>
    <row r="65" ht="14.25" customHeight="1">
      <c r="L65" s="2"/>
    </row>
    <row r="66" ht="14.25" customHeight="1">
      <c r="A66" s="49" t="s">
        <v>50</v>
      </c>
      <c r="B66" s="50" t="s">
        <v>6</v>
      </c>
      <c r="C66" s="50" t="s">
        <v>7</v>
      </c>
      <c r="D66" s="50" t="s">
        <v>8</v>
      </c>
      <c r="E66" s="50" t="s">
        <v>9</v>
      </c>
      <c r="F66" s="50" t="s">
        <v>10</v>
      </c>
      <c r="G66" s="50" t="s">
        <v>11</v>
      </c>
      <c r="H66" s="50" t="s">
        <v>12</v>
      </c>
      <c r="I66" s="50" t="s">
        <v>13</v>
      </c>
      <c r="J66" s="49" t="s">
        <v>24</v>
      </c>
      <c r="L66" s="2"/>
    </row>
    <row r="67" ht="14.25" hidden="1" customHeight="1">
      <c r="A67" s="51"/>
      <c r="B67" s="51"/>
      <c r="C67" s="51"/>
      <c r="D67" s="51">
        <f>(D45-C45)/C45</f>
        <v>0.05022750991</v>
      </c>
      <c r="E67" s="51"/>
      <c r="F67" s="51"/>
      <c r="G67" s="51"/>
      <c r="H67" s="51"/>
      <c r="I67" s="51"/>
      <c r="J67" s="51"/>
      <c r="L67" s="2"/>
    </row>
    <row r="68" ht="14.25" hidden="1" customHeight="1">
      <c r="A68" s="51"/>
      <c r="B68" s="51"/>
      <c r="C68" s="51"/>
      <c r="D68" s="51"/>
      <c r="E68" s="51"/>
      <c r="F68" s="51"/>
      <c r="G68" s="51"/>
      <c r="H68" s="51"/>
      <c r="I68" s="51"/>
      <c r="J68" s="51"/>
      <c r="L68" s="2"/>
    </row>
    <row r="69" ht="14.25" customHeight="1">
      <c r="A69" s="49" t="s">
        <v>22</v>
      </c>
      <c r="B69" s="52">
        <f t="shared" ref="B69:I69" si="23">C15</f>
        <v>0.5814752489</v>
      </c>
      <c r="C69" s="52">
        <f t="shared" si="23"/>
        <v>0.3626000219</v>
      </c>
      <c r="D69" s="52">
        <f t="shared" si="23"/>
        <v>0.01403887689</v>
      </c>
      <c r="E69" s="52">
        <f t="shared" si="23"/>
        <v>0.1823161655</v>
      </c>
      <c r="F69" s="52">
        <f t="shared" si="23"/>
        <v>0.1786862435</v>
      </c>
      <c r="G69" s="52">
        <f t="shared" si="23"/>
        <v>-0.01004951937</v>
      </c>
      <c r="H69" s="52">
        <f t="shared" si="23"/>
        <v>-0.006666313952</v>
      </c>
      <c r="I69" s="52">
        <f t="shared" si="23"/>
        <v>-0.1963634707</v>
      </c>
      <c r="J69" s="52">
        <f>AVERAGE(B69,C69,E69,D69,F69,G69,H69,I69)</f>
        <v>0.1382546566</v>
      </c>
      <c r="L69" s="2"/>
    </row>
    <row r="70" ht="14.25" customHeight="1">
      <c r="A70" s="49" t="s">
        <v>51</v>
      </c>
      <c r="B70" s="51"/>
      <c r="C70" s="52">
        <f t="shared" ref="C70:I70" si="24">D62</f>
        <v>0.05632868392</v>
      </c>
      <c r="D70" s="52">
        <f t="shared" si="24"/>
        <v>0.1379900001</v>
      </c>
      <c r="E70" s="52">
        <f t="shared" si="24"/>
        <v>0.1976156917</v>
      </c>
      <c r="F70" s="52">
        <f t="shared" si="24"/>
        <v>0.1563745788</v>
      </c>
      <c r="G70" s="52">
        <f t="shared" si="24"/>
        <v>0.1240999014</v>
      </c>
      <c r="H70" s="52">
        <f t="shared" si="24"/>
        <v>0.2060455236</v>
      </c>
      <c r="I70" s="52">
        <f t="shared" si="24"/>
        <v>0.2404731841</v>
      </c>
      <c r="J70" s="52">
        <f>AVERAGE(C70:I70)</f>
        <v>0.1598467948</v>
      </c>
      <c r="L70" s="2"/>
    </row>
    <row r="71" ht="14.25" customHeight="1">
      <c r="A71" s="49" t="s">
        <v>52</v>
      </c>
      <c r="B71" s="53">
        <v>81.741</v>
      </c>
      <c r="C71" s="53">
        <v>79.919</v>
      </c>
      <c r="D71" s="53">
        <v>79.139</v>
      </c>
      <c r="E71" s="53">
        <v>79.591</v>
      </c>
      <c r="F71" s="53">
        <v>77.147</v>
      </c>
      <c r="G71" s="53">
        <v>73.62</v>
      </c>
      <c r="H71" s="53">
        <v>57.35</v>
      </c>
      <c r="I71" s="53">
        <v>60.53</v>
      </c>
      <c r="J71" s="54">
        <f>((I71/B71)^(1/8))-1</f>
        <v>-0.03685573957</v>
      </c>
      <c r="L71" s="2"/>
    </row>
    <row r="72" ht="14.25" customHeight="1">
      <c r="L72" s="2"/>
    </row>
    <row r="73" ht="14.25" customHeight="1">
      <c r="B73" s="55"/>
      <c r="C73" s="55"/>
      <c r="D73" s="55"/>
      <c r="L73" s="2"/>
    </row>
    <row r="74" ht="14.25" customHeight="1">
      <c r="A74" s="55"/>
      <c r="C74" s="48"/>
      <c r="D74" s="48"/>
      <c r="J74" s="55"/>
      <c r="L74" s="2"/>
    </row>
    <row r="75" ht="14.25" customHeight="1">
      <c r="A75" s="55"/>
      <c r="B75" s="56"/>
      <c r="C75" s="56"/>
      <c r="D75" s="48"/>
      <c r="L75" s="2"/>
    </row>
    <row r="76" ht="14.25" customHeight="1">
      <c r="A76" s="55"/>
      <c r="D76" s="48"/>
      <c r="J76" s="48"/>
      <c r="L76" s="2"/>
    </row>
    <row r="77" ht="14.25" customHeight="1">
      <c r="L77" s="2"/>
    </row>
    <row r="78" ht="14.25" customHeight="1">
      <c r="L78" s="2"/>
    </row>
    <row r="79" ht="14.25" customHeight="1">
      <c r="L79" s="2"/>
    </row>
    <row r="80" ht="14.25" customHeight="1">
      <c r="L80" s="2"/>
    </row>
    <row r="81" ht="14.25" customHeight="1">
      <c r="L81" s="2"/>
    </row>
    <row r="82" ht="14.25" customHeight="1">
      <c r="L82" s="2"/>
    </row>
    <row r="83" ht="14.25" customHeight="1">
      <c r="L83" s="2"/>
    </row>
    <row r="84" ht="14.25" customHeight="1">
      <c r="L84" s="2"/>
    </row>
    <row r="85" ht="14.25" customHeight="1">
      <c r="L85" s="2"/>
    </row>
    <row r="86" ht="14.25" customHeight="1">
      <c r="L86" s="2"/>
    </row>
    <row r="87" ht="14.25" customHeight="1">
      <c r="L87" s="2"/>
    </row>
    <row r="88" ht="14.25" customHeight="1">
      <c r="L88" s="2"/>
    </row>
    <row r="89" ht="14.25" customHeight="1">
      <c r="L89" s="2"/>
    </row>
    <row r="90" ht="14.25" customHeight="1">
      <c r="L90" s="2"/>
    </row>
    <row r="91" ht="14.25" customHeight="1">
      <c r="L91" s="2"/>
    </row>
    <row r="92" ht="14.25" customHeight="1">
      <c r="L92" s="2"/>
    </row>
    <row r="93" ht="14.25" customHeight="1">
      <c r="L93" s="2"/>
    </row>
    <row r="94" ht="14.25" customHeight="1">
      <c r="L94" s="2"/>
    </row>
    <row r="95" ht="14.25" customHeight="1">
      <c r="L95" s="2"/>
    </row>
    <row r="96" ht="14.25" customHeight="1">
      <c r="L96" s="2"/>
    </row>
    <row r="97" ht="14.25" customHeight="1">
      <c r="L97" s="2"/>
    </row>
    <row r="98" ht="14.25" customHeight="1">
      <c r="L98" s="2"/>
    </row>
    <row r="99" ht="14.25" customHeight="1">
      <c r="L99" s="2"/>
    </row>
    <row r="100" ht="14.25" customHeight="1">
      <c r="L100" s="2"/>
    </row>
    <row r="101" ht="14.25" customHeight="1">
      <c r="L101" s="2"/>
    </row>
    <row r="102" ht="14.25" customHeight="1">
      <c r="L102" s="2"/>
    </row>
    <row r="103" ht="14.25" customHeight="1">
      <c r="L103" s="2"/>
    </row>
    <row r="104" ht="14.25" customHeight="1">
      <c r="L104" s="2"/>
    </row>
    <row r="105" ht="14.25" customHeight="1">
      <c r="L105" s="2"/>
    </row>
    <row r="106" ht="14.25" customHeight="1">
      <c r="L106" s="2"/>
    </row>
    <row r="107" ht="14.25" customHeight="1">
      <c r="L107" s="2"/>
    </row>
    <row r="108" ht="14.25" customHeight="1">
      <c r="L108" s="2"/>
    </row>
    <row r="109" ht="14.25" customHeight="1">
      <c r="L109" s="2"/>
    </row>
    <row r="110" ht="14.25" customHeight="1">
      <c r="L110" s="2"/>
    </row>
    <row r="111" ht="14.25" customHeight="1">
      <c r="L111" s="2"/>
    </row>
    <row r="112" ht="14.25" customHeight="1">
      <c r="L112" s="2"/>
    </row>
    <row r="113" ht="14.25" customHeight="1">
      <c r="L113" s="2"/>
    </row>
    <row r="114" ht="14.25" customHeight="1">
      <c r="L114" s="2"/>
    </row>
    <row r="115" ht="14.25" customHeight="1">
      <c r="L115" s="2"/>
    </row>
    <row r="116" ht="14.25" customHeight="1">
      <c r="L116" s="2"/>
    </row>
    <row r="117" ht="14.25" customHeight="1">
      <c r="L117" s="2"/>
    </row>
    <row r="118" ht="14.25" customHeight="1">
      <c r="L118" s="2"/>
    </row>
    <row r="119" ht="14.25" customHeight="1">
      <c r="L119" s="2"/>
    </row>
    <row r="120" ht="14.25" customHeight="1">
      <c r="L120" s="2"/>
    </row>
    <row r="121" ht="14.25" customHeight="1">
      <c r="L121" s="2"/>
    </row>
    <row r="122" ht="14.25" customHeight="1">
      <c r="L122" s="2"/>
    </row>
    <row r="123" ht="14.25" customHeight="1">
      <c r="L123" s="2"/>
    </row>
    <row r="124" ht="14.25" customHeight="1">
      <c r="L124" s="2"/>
    </row>
    <row r="125" ht="14.25" customHeight="1">
      <c r="L125" s="2"/>
    </row>
    <row r="126" ht="14.25" customHeight="1">
      <c r="L126" s="2"/>
    </row>
    <row r="127" ht="14.25" customHeight="1">
      <c r="L127" s="2"/>
    </row>
    <row r="128" ht="14.25" customHeight="1">
      <c r="L128" s="2"/>
    </row>
    <row r="129" ht="14.25" customHeight="1">
      <c r="L129" s="2"/>
    </row>
    <row r="130" ht="14.25" customHeight="1">
      <c r="L130" s="2"/>
    </row>
    <row r="131" ht="14.25" customHeight="1">
      <c r="L131" s="2"/>
    </row>
    <row r="132" ht="14.25" customHeight="1">
      <c r="L132" s="2"/>
    </row>
    <row r="133" ht="14.25" customHeight="1">
      <c r="L133" s="2"/>
    </row>
    <row r="134" ht="14.25" customHeight="1">
      <c r="L134" s="2"/>
    </row>
    <row r="135" ht="14.25" customHeight="1">
      <c r="L135" s="2"/>
    </row>
    <row r="136" ht="14.25" customHeight="1">
      <c r="L136" s="2"/>
    </row>
    <row r="137" ht="14.25" customHeight="1">
      <c r="L137" s="2"/>
    </row>
    <row r="138" ht="14.25" customHeight="1">
      <c r="L138" s="2"/>
    </row>
    <row r="139" ht="14.25" customHeight="1">
      <c r="L139" s="2"/>
    </row>
    <row r="140" ht="14.25" customHeight="1">
      <c r="L140" s="2"/>
    </row>
    <row r="141" ht="14.25" customHeight="1">
      <c r="L141" s="2"/>
    </row>
    <row r="142" ht="14.25" customHeight="1">
      <c r="L142" s="2"/>
    </row>
    <row r="143" ht="14.25" customHeight="1">
      <c r="L143" s="2"/>
    </row>
    <row r="144" ht="14.25" customHeight="1">
      <c r="L144" s="2"/>
    </row>
    <row r="145" ht="14.25" customHeight="1">
      <c r="L145" s="2"/>
    </row>
    <row r="146" ht="14.25" customHeight="1">
      <c r="L146" s="2"/>
    </row>
    <row r="147" ht="14.25" customHeight="1">
      <c r="L147" s="2"/>
    </row>
    <row r="148" ht="14.25" customHeight="1">
      <c r="L148" s="2"/>
    </row>
    <row r="149" ht="14.25" customHeight="1">
      <c r="L149" s="2"/>
    </row>
    <row r="150" ht="14.25" customHeight="1">
      <c r="L150" s="2"/>
    </row>
    <row r="151" ht="14.25" customHeight="1">
      <c r="L151" s="2"/>
    </row>
    <row r="152" ht="14.25" customHeight="1">
      <c r="L152" s="2"/>
    </row>
    <row r="153" ht="14.25" customHeight="1">
      <c r="L153" s="2"/>
    </row>
    <row r="154" ht="14.25" customHeight="1">
      <c r="L154" s="2"/>
    </row>
    <row r="155" ht="14.25" customHeight="1">
      <c r="L155" s="2"/>
    </row>
    <row r="156" ht="14.25" customHeight="1">
      <c r="L156" s="2"/>
    </row>
    <row r="157" ht="14.25" customHeight="1">
      <c r="L157" s="2"/>
    </row>
    <row r="158" ht="14.25" customHeight="1">
      <c r="L158" s="2"/>
    </row>
    <row r="159" ht="14.25" customHeight="1">
      <c r="L159" s="2"/>
    </row>
    <row r="160" ht="14.25" customHeight="1">
      <c r="L160" s="2"/>
    </row>
    <row r="161" ht="14.25" customHeight="1">
      <c r="L161" s="2"/>
    </row>
    <row r="162" ht="14.25" customHeight="1">
      <c r="L162" s="2"/>
    </row>
    <row r="163" ht="14.25" customHeight="1">
      <c r="L163" s="2"/>
    </row>
    <row r="164" ht="14.25" customHeight="1">
      <c r="L164" s="2"/>
    </row>
    <row r="165" ht="14.25" customHeight="1">
      <c r="L165" s="2"/>
    </row>
    <row r="166" ht="14.25" customHeight="1">
      <c r="L166" s="2"/>
    </row>
    <row r="167" ht="14.25" customHeight="1">
      <c r="L167" s="2"/>
    </row>
    <row r="168" ht="14.25" customHeight="1">
      <c r="L168" s="2"/>
    </row>
    <row r="169" ht="14.25" customHeight="1">
      <c r="L169" s="2"/>
    </row>
    <row r="170" ht="14.25" customHeight="1">
      <c r="L170" s="2"/>
    </row>
    <row r="171" ht="14.25" customHeight="1">
      <c r="L171" s="2"/>
    </row>
    <row r="172" ht="14.25" customHeight="1">
      <c r="L172" s="2"/>
    </row>
    <row r="173" ht="14.25" customHeight="1">
      <c r="L173" s="2"/>
    </row>
    <row r="174" ht="14.25" customHeight="1">
      <c r="L174" s="2"/>
    </row>
    <row r="175" ht="14.25" customHeight="1">
      <c r="L175" s="2"/>
    </row>
    <row r="176" ht="14.25" customHeight="1">
      <c r="L176" s="2"/>
    </row>
    <row r="177" ht="14.25" customHeight="1">
      <c r="L177" s="2"/>
    </row>
    <row r="178" ht="14.25" customHeight="1">
      <c r="L178" s="2"/>
    </row>
    <row r="179" ht="14.25" customHeight="1">
      <c r="L179" s="2"/>
    </row>
    <row r="180" ht="14.25" customHeight="1">
      <c r="L180" s="2"/>
    </row>
    <row r="181" ht="14.25" customHeight="1">
      <c r="L181" s="2"/>
    </row>
    <row r="182" ht="14.25" customHeight="1">
      <c r="L182" s="2"/>
    </row>
    <row r="183" ht="14.25" customHeight="1">
      <c r="L183" s="2"/>
    </row>
    <row r="184" ht="14.25" customHeight="1">
      <c r="L184" s="2"/>
    </row>
    <row r="185" ht="14.25" customHeight="1">
      <c r="L185" s="2"/>
    </row>
    <row r="186" ht="14.25" customHeight="1">
      <c r="L186" s="2"/>
    </row>
    <row r="187" ht="14.25" customHeight="1">
      <c r="L187" s="2"/>
    </row>
    <row r="188" ht="14.25" customHeight="1">
      <c r="L188" s="2"/>
    </row>
    <row r="189" ht="14.25" customHeight="1">
      <c r="L189" s="2"/>
    </row>
    <row r="190" ht="14.25" customHeight="1">
      <c r="L190" s="2"/>
    </row>
    <row r="191" ht="14.25" customHeight="1">
      <c r="L191" s="2"/>
    </row>
    <row r="192" ht="14.25" customHeight="1">
      <c r="L192" s="2"/>
    </row>
    <row r="193" ht="14.25" customHeight="1">
      <c r="L193" s="2"/>
    </row>
    <row r="194" ht="14.25" customHeight="1">
      <c r="L194" s="2"/>
    </row>
    <row r="195" ht="14.25" customHeight="1">
      <c r="L195" s="2"/>
    </row>
    <row r="196" ht="14.25" customHeight="1">
      <c r="L196" s="2"/>
    </row>
    <row r="197" ht="14.25" customHeight="1">
      <c r="L197" s="2"/>
    </row>
    <row r="198" ht="14.25" customHeight="1">
      <c r="L198" s="2"/>
    </row>
    <row r="199" ht="14.25" customHeight="1">
      <c r="L199" s="2"/>
    </row>
    <row r="200" ht="14.25" customHeight="1">
      <c r="L200" s="2"/>
    </row>
    <row r="201" ht="14.25" customHeight="1">
      <c r="L201" s="2"/>
    </row>
    <row r="202" ht="14.25" customHeight="1">
      <c r="L202" s="2"/>
    </row>
    <row r="203" ht="14.25" customHeight="1">
      <c r="L203" s="2"/>
    </row>
    <row r="204" ht="14.25" customHeight="1">
      <c r="L204" s="2"/>
    </row>
    <row r="205" ht="14.25" customHeight="1">
      <c r="L205" s="2"/>
    </row>
    <row r="206" ht="14.25" customHeight="1">
      <c r="L206" s="2"/>
    </row>
    <row r="207" ht="14.25" customHeight="1">
      <c r="L207" s="2"/>
    </row>
    <row r="208" ht="14.25" customHeight="1">
      <c r="L208" s="2"/>
    </row>
    <row r="209" ht="14.25" customHeight="1">
      <c r="L209" s="2"/>
    </row>
    <row r="210" ht="14.25" customHeight="1">
      <c r="L210" s="2"/>
    </row>
    <row r="211" ht="14.25" customHeight="1">
      <c r="L211" s="2"/>
    </row>
    <row r="212" ht="14.25" customHeight="1">
      <c r="L212" s="2"/>
    </row>
    <row r="213" ht="14.25" customHeight="1">
      <c r="L213" s="2"/>
    </row>
    <row r="214" ht="14.25" customHeight="1">
      <c r="L214" s="2"/>
    </row>
    <row r="215" ht="14.25" customHeight="1">
      <c r="L215" s="2"/>
    </row>
    <row r="216" ht="14.25" customHeight="1">
      <c r="L216" s="2"/>
    </row>
    <row r="217" ht="14.25" customHeight="1">
      <c r="L217" s="2"/>
    </row>
    <row r="218" ht="14.25" customHeight="1">
      <c r="L218" s="2"/>
    </row>
    <row r="219" ht="14.25" customHeight="1">
      <c r="L219" s="2"/>
    </row>
    <row r="220" ht="14.25" customHeight="1">
      <c r="L220" s="2"/>
    </row>
    <row r="221" ht="14.25" customHeight="1">
      <c r="L221" s="2"/>
    </row>
    <row r="222" ht="14.25" customHeight="1">
      <c r="L222" s="2"/>
    </row>
    <row r="223" ht="14.25" customHeight="1">
      <c r="L223" s="2"/>
    </row>
    <row r="224" ht="14.25" customHeight="1">
      <c r="L224" s="2"/>
    </row>
    <row r="225" ht="14.25" customHeight="1">
      <c r="L225" s="2"/>
    </row>
    <row r="226" ht="14.25" customHeight="1">
      <c r="L226" s="2"/>
    </row>
    <row r="227" ht="14.25" customHeight="1">
      <c r="L227" s="2"/>
    </row>
    <row r="228" ht="14.25" customHeight="1">
      <c r="L228" s="2"/>
    </row>
    <row r="229" ht="14.25" customHeight="1">
      <c r="L229" s="2"/>
    </row>
    <row r="230" ht="14.25" customHeight="1">
      <c r="L230" s="2"/>
    </row>
    <row r="231" ht="14.25" customHeight="1">
      <c r="L231" s="2"/>
    </row>
    <row r="232" ht="14.25" customHeight="1">
      <c r="L232" s="2"/>
    </row>
    <row r="233" ht="14.25" customHeight="1">
      <c r="L233" s="2"/>
    </row>
    <row r="234" ht="14.25" customHeight="1">
      <c r="L234" s="2"/>
    </row>
    <row r="235" ht="14.25" customHeight="1">
      <c r="L235" s="2"/>
    </row>
    <row r="236" ht="14.25" customHeight="1">
      <c r="L236" s="2"/>
    </row>
    <row r="237" ht="14.25" customHeight="1">
      <c r="L237" s="2"/>
    </row>
    <row r="238" ht="14.25" customHeight="1">
      <c r="L238" s="2"/>
    </row>
    <row r="239" ht="14.25" customHeight="1">
      <c r="L239" s="2"/>
    </row>
    <row r="240" ht="14.25" customHeight="1">
      <c r="L240" s="2"/>
    </row>
    <row r="241" ht="14.25" customHeight="1">
      <c r="L241" s="2"/>
    </row>
    <row r="242" ht="14.25" customHeight="1">
      <c r="L242" s="2"/>
    </row>
    <row r="243" ht="14.25" customHeight="1">
      <c r="L243" s="2"/>
    </row>
    <row r="244" ht="14.25" customHeight="1">
      <c r="L244" s="2"/>
    </row>
    <row r="245" ht="14.25" customHeight="1">
      <c r="L245" s="2"/>
    </row>
    <row r="246" ht="14.25" customHeight="1">
      <c r="L246" s="2"/>
    </row>
    <row r="247" ht="14.25" customHeight="1">
      <c r="L247" s="2"/>
    </row>
    <row r="248" ht="14.25" customHeight="1">
      <c r="L248" s="2"/>
    </row>
    <row r="249" ht="14.25" customHeight="1">
      <c r="L249" s="2"/>
    </row>
    <row r="250" ht="14.25" customHeight="1">
      <c r="L250" s="2"/>
    </row>
    <row r="251" ht="14.25" customHeight="1">
      <c r="L251" s="2"/>
    </row>
    <row r="252" ht="14.25" customHeight="1">
      <c r="L252" s="2"/>
    </row>
    <row r="253" ht="14.25" customHeight="1">
      <c r="L253" s="2"/>
    </row>
    <row r="254" ht="14.25" customHeight="1">
      <c r="L254" s="2"/>
    </row>
    <row r="255" ht="14.25" customHeight="1">
      <c r="L255" s="2"/>
    </row>
    <row r="256" ht="14.25" customHeight="1">
      <c r="L256" s="2"/>
    </row>
    <row r="257" ht="14.25" customHeight="1">
      <c r="L257" s="2"/>
    </row>
    <row r="258" ht="14.25" customHeight="1">
      <c r="L258" s="2"/>
    </row>
    <row r="259" ht="14.25" customHeight="1">
      <c r="L259" s="2"/>
    </row>
    <row r="260" ht="14.25" customHeight="1">
      <c r="L260" s="2"/>
    </row>
    <row r="261" ht="14.25" customHeight="1">
      <c r="L261" s="2"/>
    </row>
    <row r="262" ht="14.25" customHeight="1">
      <c r="L262" s="2"/>
    </row>
    <row r="263" ht="14.25" customHeight="1">
      <c r="L263" s="2"/>
    </row>
    <row r="264" ht="14.25" customHeight="1">
      <c r="L264" s="2"/>
    </row>
    <row r="265" ht="14.25" customHeight="1">
      <c r="L265" s="2"/>
    </row>
    <row r="266" ht="14.25" customHeight="1">
      <c r="L266" s="2"/>
    </row>
    <row r="267" ht="14.25" customHeight="1">
      <c r="L267" s="2"/>
    </row>
    <row r="268" ht="14.25" customHeight="1">
      <c r="L268" s="2"/>
    </row>
    <row r="269" ht="14.25" customHeight="1">
      <c r="L269" s="2"/>
    </row>
    <row r="270" ht="14.25" customHeight="1">
      <c r="L270" s="2"/>
    </row>
    <row r="271" ht="14.25" customHeight="1">
      <c r="L271" s="2"/>
    </row>
    <row r="272" ht="14.25" customHeight="1">
      <c r="L272" s="2"/>
    </row>
    <row r="273" ht="14.25" customHeight="1">
      <c r="L273" s="2"/>
    </row>
    <row r="274" ht="14.25" customHeight="1">
      <c r="L274" s="2"/>
    </row>
    <row r="275" ht="14.25" customHeight="1">
      <c r="L275" s="2"/>
    </row>
    <row r="276" ht="14.25" customHeight="1">
      <c r="L276" s="2"/>
    </row>
    <row r="277" ht="14.25" customHeight="1">
      <c r="L277" s="2"/>
    </row>
    <row r="278" ht="14.25" customHeight="1">
      <c r="L278" s="2"/>
    </row>
    <row r="279" ht="14.25" customHeight="1">
      <c r="L279" s="2"/>
    </row>
    <row r="280" ht="14.25" customHeight="1">
      <c r="L280" s="2"/>
    </row>
    <row r="281" ht="14.25" customHeight="1">
      <c r="L281" s="2"/>
    </row>
    <row r="282" ht="14.25" customHeight="1">
      <c r="L282" s="2"/>
    </row>
    <row r="283" ht="14.25" customHeight="1">
      <c r="L283" s="2"/>
    </row>
    <row r="284" ht="14.25" customHeight="1">
      <c r="L284" s="2"/>
    </row>
    <row r="285" ht="14.25" customHeight="1">
      <c r="L285" s="2"/>
    </row>
    <row r="286" ht="14.25" customHeight="1">
      <c r="L286" s="2"/>
    </row>
    <row r="287" ht="14.25" customHeight="1">
      <c r="L287" s="2"/>
    </row>
    <row r="288" ht="14.25" customHeight="1">
      <c r="L288" s="2"/>
    </row>
    <row r="289" ht="14.25" customHeight="1">
      <c r="L289" s="2"/>
    </row>
    <row r="290" ht="14.25" customHeight="1">
      <c r="L290" s="2"/>
    </row>
    <row r="291" ht="14.25" customHeight="1">
      <c r="L291" s="2"/>
    </row>
    <row r="292" ht="14.25" customHeight="1">
      <c r="L292" s="2"/>
    </row>
    <row r="293" ht="14.25" customHeight="1">
      <c r="L293" s="2"/>
    </row>
    <row r="294" ht="14.25" customHeight="1">
      <c r="L294" s="2"/>
    </row>
    <row r="295" ht="14.25" customHeight="1">
      <c r="L295" s="2"/>
    </row>
    <row r="296" ht="14.25" customHeight="1">
      <c r="L296" s="2"/>
    </row>
    <row r="297" ht="14.25" customHeight="1">
      <c r="L297" s="2"/>
    </row>
    <row r="298" ht="14.25" customHeight="1">
      <c r="L298" s="2"/>
    </row>
    <row r="299" ht="14.25" customHeight="1">
      <c r="L299" s="2"/>
    </row>
    <row r="300" ht="14.25" customHeight="1">
      <c r="L300" s="2"/>
    </row>
    <row r="301" ht="14.25" customHeight="1">
      <c r="L301" s="2"/>
    </row>
    <row r="302" ht="14.25" customHeight="1">
      <c r="L302" s="2"/>
    </row>
    <row r="303" ht="14.25" customHeight="1">
      <c r="L303" s="2"/>
    </row>
    <row r="304" ht="14.25" customHeight="1">
      <c r="L304" s="2"/>
    </row>
    <row r="305" ht="14.25" customHeight="1">
      <c r="L305" s="2"/>
    </row>
    <row r="306" ht="14.25" customHeight="1">
      <c r="L306" s="2"/>
    </row>
    <row r="307" ht="14.25" customHeight="1">
      <c r="L307" s="2"/>
    </row>
    <row r="308" ht="14.25" customHeight="1">
      <c r="L308" s="2"/>
    </row>
    <row r="309" ht="14.25" customHeight="1">
      <c r="L309" s="2"/>
    </row>
    <row r="310" ht="14.25" customHeight="1">
      <c r="L310" s="2"/>
    </row>
    <row r="311" ht="14.25" customHeight="1">
      <c r="L311" s="2"/>
    </row>
    <row r="312" ht="14.25" customHeight="1">
      <c r="L312" s="2"/>
    </row>
    <row r="313" ht="14.25" customHeight="1">
      <c r="L313" s="2"/>
    </row>
    <row r="314" ht="14.25" customHeight="1">
      <c r="L314" s="2"/>
    </row>
    <row r="315" ht="14.25" customHeight="1">
      <c r="L315" s="2"/>
    </row>
    <row r="316" ht="14.25" customHeight="1">
      <c r="L316" s="2"/>
    </row>
    <row r="317" ht="14.25" customHeight="1">
      <c r="L317" s="2"/>
    </row>
    <row r="318" ht="14.25" customHeight="1">
      <c r="L318" s="2"/>
    </row>
    <row r="319" ht="14.25" customHeight="1">
      <c r="L319" s="2"/>
    </row>
    <row r="320" ht="14.25" customHeight="1">
      <c r="L320" s="2"/>
    </row>
    <row r="321" ht="14.25" customHeight="1">
      <c r="L321" s="2"/>
    </row>
    <row r="322" ht="14.25" customHeight="1">
      <c r="L322" s="2"/>
    </row>
    <row r="323" ht="14.25" customHeight="1">
      <c r="L323" s="2"/>
    </row>
    <row r="324" ht="14.25" customHeight="1">
      <c r="L324" s="2"/>
    </row>
    <row r="325" ht="14.25" customHeight="1">
      <c r="L325" s="2"/>
    </row>
    <row r="326" ht="14.25" customHeight="1">
      <c r="L326" s="2"/>
    </row>
    <row r="327" ht="14.25" customHeight="1">
      <c r="L327" s="2"/>
    </row>
    <row r="328" ht="14.25" customHeight="1">
      <c r="L328" s="2"/>
    </row>
    <row r="329" ht="14.25" customHeight="1">
      <c r="L329" s="2"/>
    </row>
    <row r="330" ht="14.25" customHeight="1">
      <c r="L330" s="2"/>
    </row>
    <row r="331" ht="14.25" customHeight="1">
      <c r="L331" s="2"/>
    </row>
    <row r="332" ht="14.25" customHeight="1">
      <c r="L332" s="2"/>
    </row>
    <row r="333" ht="14.25" customHeight="1">
      <c r="L333" s="2"/>
    </row>
    <row r="334" ht="14.25" customHeight="1">
      <c r="L334" s="2"/>
    </row>
    <row r="335" ht="14.25" customHeight="1">
      <c r="L335" s="2"/>
    </row>
    <row r="336" ht="14.25" customHeight="1">
      <c r="L336" s="2"/>
    </row>
    <row r="337" ht="14.25" customHeight="1">
      <c r="L337" s="2"/>
    </row>
    <row r="338" ht="14.25" customHeight="1">
      <c r="L338" s="2"/>
    </row>
    <row r="339" ht="14.25" customHeight="1">
      <c r="L339" s="2"/>
    </row>
    <row r="340" ht="14.25" customHeight="1">
      <c r="L340" s="2"/>
    </row>
    <row r="341" ht="14.25" customHeight="1">
      <c r="L341" s="2"/>
    </row>
    <row r="342" ht="14.25" customHeight="1">
      <c r="L342" s="2"/>
    </row>
    <row r="343" ht="14.25" customHeight="1">
      <c r="L343" s="2"/>
    </row>
    <row r="344" ht="14.25" customHeight="1">
      <c r="L344" s="2"/>
    </row>
    <row r="345" ht="14.25" customHeight="1">
      <c r="L345" s="2"/>
    </row>
    <row r="346" ht="14.25" customHeight="1">
      <c r="L346" s="2"/>
    </row>
    <row r="347" ht="14.25" customHeight="1">
      <c r="L347" s="2"/>
    </row>
    <row r="348" ht="14.25" customHeight="1">
      <c r="L348" s="2"/>
    </row>
    <row r="349" ht="14.25" customHeight="1">
      <c r="L349" s="2"/>
    </row>
    <row r="350" ht="14.25" customHeight="1">
      <c r="L350" s="2"/>
    </row>
    <row r="351" ht="14.25" customHeight="1">
      <c r="L351" s="2"/>
    </row>
    <row r="352" ht="14.25" customHeight="1">
      <c r="L352" s="2"/>
    </row>
    <row r="353" ht="14.25" customHeight="1">
      <c r="L353" s="2"/>
    </row>
    <row r="354" ht="14.25" customHeight="1">
      <c r="L354" s="2"/>
    </row>
    <row r="355" ht="14.25" customHeight="1">
      <c r="L355" s="2"/>
    </row>
    <row r="356" ht="14.25" customHeight="1">
      <c r="L356" s="2"/>
    </row>
    <row r="357" ht="14.25" customHeight="1">
      <c r="L357" s="2"/>
    </row>
    <row r="358" ht="14.25" customHeight="1">
      <c r="L358" s="2"/>
    </row>
    <row r="359" ht="14.25" customHeight="1">
      <c r="L359" s="2"/>
    </row>
    <row r="360" ht="14.25" customHeight="1">
      <c r="L360" s="2"/>
    </row>
    <row r="361" ht="14.25" customHeight="1">
      <c r="L361" s="2"/>
    </row>
    <row r="362" ht="14.25" customHeight="1">
      <c r="L362" s="2"/>
    </row>
    <row r="363" ht="14.25" customHeight="1">
      <c r="L363" s="2"/>
    </row>
    <row r="364" ht="14.25" customHeight="1">
      <c r="L364" s="2"/>
    </row>
    <row r="365" ht="14.25" customHeight="1">
      <c r="L365" s="2"/>
    </row>
    <row r="366" ht="14.25" customHeight="1">
      <c r="L366" s="2"/>
    </row>
    <row r="367" ht="14.25" customHeight="1">
      <c r="L367" s="2"/>
    </row>
    <row r="368" ht="14.25" customHeight="1">
      <c r="L368" s="2"/>
    </row>
    <row r="369" ht="14.25" customHeight="1">
      <c r="L369" s="2"/>
    </row>
    <row r="370" ht="14.25" customHeight="1">
      <c r="L370" s="2"/>
    </row>
    <row r="371" ht="14.25" customHeight="1">
      <c r="L371" s="2"/>
    </row>
    <row r="372" ht="14.25" customHeight="1">
      <c r="L372" s="2"/>
    </row>
    <row r="373" ht="14.25" customHeight="1">
      <c r="L373" s="2"/>
    </row>
    <row r="374" ht="14.25" customHeight="1">
      <c r="L374" s="2"/>
    </row>
    <row r="375" ht="14.25" customHeight="1">
      <c r="L375" s="2"/>
    </row>
    <row r="376" ht="14.25" customHeight="1">
      <c r="L376" s="2"/>
    </row>
    <row r="377" ht="14.25" customHeight="1">
      <c r="L377" s="2"/>
    </row>
    <row r="378" ht="14.25" customHeight="1">
      <c r="L378" s="2"/>
    </row>
    <row r="379" ht="14.25" customHeight="1">
      <c r="L379" s="2"/>
    </row>
    <row r="380" ht="14.25" customHeight="1">
      <c r="L380" s="2"/>
    </row>
    <row r="381" ht="14.25" customHeight="1">
      <c r="L381" s="2"/>
    </row>
    <row r="382" ht="14.25" customHeight="1">
      <c r="L382" s="2"/>
    </row>
    <row r="383" ht="14.25" customHeight="1">
      <c r="L383" s="2"/>
    </row>
    <row r="384" ht="14.25" customHeight="1">
      <c r="L384" s="2"/>
    </row>
    <row r="385" ht="14.25" customHeight="1">
      <c r="L385" s="2"/>
    </row>
    <row r="386" ht="14.25" customHeight="1">
      <c r="L386" s="2"/>
    </row>
    <row r="387" ht="14.25" customHeight="1">
      <c r="L387" s="2"/>
    </row>
    <row r="388" ht="14.25" customHeight="1">
      <c r="L388" s="2"/>
    </row>
    <row r="389" ht="14.25" customHeight="1">
      <c r="L389" s="2"/>
    </row>
    <row r="390" ht="14.25" customHeight="1">
      <c r="L390" s="2"/>
    </row>
    <row r="391" ht="14.25" customHeight="1">
      <c r="L391" s="2"/>
    </row>
    <row r="392" ht="14.25" customHeight="1">
      <c r="L392" s="2"/>
    </row>
    <row r="393" ht="14.25" customHeight="1">
      <c r="L393" s="2"/>
    </row>
    <row r="394" ht="14.25" customHeight="1">
      <c r="L394" s="2"/>
    </row>
    <row r="395" ht="14.25" customHeight="1">
      <c r="L395" s="2"/>
    </row>
    <row r="396" ht="14.25" customHeight="1">
      <c r="L396" s="2"/>
    </row>
    <row r="397" ht="14.25" customHeight="1">
      <c r="L397" s="2"/>
    </row>
    <row r="398" ht="14.25" customHeight="1">
      <c r="L398" s="2"/>
    </row>
    <row r="399" ht="14.25" customHeight="1">
      <c r="L399" s="2"/>
    </row>
    <row r="400" ht="14.25" customHeight="1">
      <c r="L400" s="2"/>
    </row>
    <row r="401" ht="14.25" customHeight="1">
      <c r="L401" s="2"/>
    </row>
    <row r="402" ht="14.25" customHeight="1">
      <c r="L402" s="2"/>
    </row>
    <row r="403" ht="14.25" customHeight="1">
      <c r="L403" s="2"/>
    </row>
    <row r="404" ht="14.25" customHeight="1">
      <c r="L404" s="2"/>
    </row>
    <row r="405" ht="14.25" customHeight="1">
      <c r="L405" s="2"/>
    </row>
    <row r="406" ht="14.25" customHeight="1">
      <c r="L406" s="2"/>
    </row>
    <row r="407" ht="14.25" customHeight="1">
      <c r="L407" s="2"/>
    </row>
    <row r="408" ht="14.25" customHeight="1">
      <c r="L408" s="2"/>
    </row>
    <row r="409" ht="14.25" customHeight="1">
      <c r="L409" s="2"/>
    </row>
    <row r="410" ht="14.25" customHeight="1">
      <c r="L410" s="2"/>
    </row>
    <row r="411" ht="14.25" customHeight="1">
      <c r="L411" s="2"/>
    </row>
    <row r="412" ht="14.25" customHeight="1">
      <c r="L412" s="2"/>
    </row>
    <row r="413" ht="14.25" customHeight="1">
      <c r="L413" s="2"/>
    </row>
    <row r="414" ht="14.25" customHeight="1">
      <c r="L414" s="2"/>
    </row>
    <row r="415" ht="14.25" customHeight="1">
      <c r="L415" s="2"/>
    </row>
    <row r="416" ht="14.25" customHeight="1">
      <c r="L416" s="2"/>
    </row>
    <row r="417" ht="14.25" customHeight="1">
      <c r="L417" s="2"/>
    </row>
    <row r="418" ht="14.25" customHeight="1">
      <c r="L418" s="2"/>
    </row>
    <row r="419" ht="14.25" customHeight="1">
      <c r="L419" s="2"/>
    </row>
    <row r="420" ht="14.25" customHeight="1">
      <c r="L420" s="2"/>
    </row>
    <row r="421" ht="14.25" customHeight="1">
      <c r="L421" s="2"/>
    </row>
    <row r="422" ht="14.25" customHeight="1">
      <c r="L422" s="2"/>
    </row>
    <row r="423" ht="14.25" customHeight="1">
      <c r="L423" s="2"/>
    </row>
    <row r="424" ht="14.25" customHeight="1">
      <c r="L424" s="2"/>
    </row>
    <row r="425" ht="14.25" customHeight="1">
      <c r="L425" s="2"/>
    </row>
    <row r="426" ht="14.25" customHeight="1">
      <c r="L426" s="2"/>
    </row>
    <row r="427" ht="14.25" customHeight="1">
      <c r="L427" s="2"/>
    </row>
    <row r="428" ht="14.25" customHeight="1">
      <c r="L428" s="2"/>
    </row>
    <row r="429" ht="14.25" customHeight="1">
      <c r="L429" s="2"/>
    </row>
    <row r="430" ht="14.25" customHeight="1">
      <c r="L430" s="2"/>
    </row>
    <row r="431" ht="14.25" customHeight="1">
      <c r="L431" s="2"/>
    </row>
    <row r="432" ht="14.25" customHeight="1">
      <c r="L432" s="2"/>
    </row>
    <row r="433" ht="14.25" customHeight="1">
      <c r="L433" s="2"/>
    </row>
    <row r="434" ht="14.25" customHeight="1">
      <c r="L434" s="2"/>
    </row>
    <row r="435" ht="14.25" customHeight="1">
      <c r="L435" s="2"/>
    </row>
    <row r="436" ht="14.25" customHeight="1">
      <c r="L436" s="2"/>
    </row>
    <row r="437" ht="14.25" customHeight="1">
      <c r="L437" s="2"/>
    </row>
    <row r="438" ht="14.25" customHeight="1">
      <c r="L438" s="2"/>
    </row>
    <row r="439" ht="14.25" customHeight="1">
      <c r="L439" s="2"/>
    </row>
    <row r="440" ht="14.25" customHeight="1">
      <c r="L440" s="2"/>
    </row>
    <row r="441" ht="14.25" customHeight="1">
      <c r="L441" s="2"/>
    </row>
    <row r="442" ht="14.25" customHeight="1">
      <c r="L442" s="2"/>
    </row>
    <row r="443" ht="14.25" customHeight="1">
      <c r="L443" s="2"/>
    </row>
    <row r="444" ht="14.25" customHeight="1">
      <c r="L444" s="2"/>
    </row>
    <row r="445" ht="14.25" customHeight="1">
      <c r="L445" s="2"/>
    </row>
    <row r="446" ht="14.25" customHeight="1">
      <c r="L446" s="2"/>
    </row>
    <row r="447" ht="14.25" customHeight="1">
      <c r="L447" s="2"/>
    </row>
    <row r="448" ht="14.25" customHeight="1">
      <c r="L448" s="2"/>
    </row>
    <row r="449" ht="14.25" customHeight="1">
      <c r="L449" s="2"/>
    </row>
    <row r="450" ht="14.25" customHeight="1">
      <c r="L450" s="2"/>
    </row>
    <row r="451" ht="14.25" customHeight="1">
      <c r="L451" s="2"/>
    </row>
    <row r="452" ht="14.25" customHeight="1">
      <c r="L452" s="2"/>
    </row>
    <row r="453" ht="14.25" customHeight="1">
      <c r="L453" s="2"/>
    </row>
    <row r="454" ht="14.25" customHeight="1">
      <c r="L454" s="2"/>
    </row>
    <row r="455" ht="14.25" customHeight="1">
      <c r="L455" s="2"/>
    </row>
    <row r="456" ht="14.25" customHeight="1">
      <c r="L456" s="2"/>
    </row>
    <row r="457" ht="14.25" customHeight="1">
      <c r="L457" s="2"/>
    </row>
    <row r="458" ht="14.25" customHeight="1">
      <c r="L458" s="2"/>
    </row>
    <row r="459" ht="14.25" customHeight="1">
      <c r="L459" s="2"/>
    </row>
    <row r="460" ht="14.25" customHeight="1">
      <c r="L460" s="2"/>
    </row>
    <row r="461" ht="14.25" customHeight="1">
      <c r="L461" s="2"/>
    </row>
    <row r="462" ht="14.25" customHeight="1">
      <c r="L462" s="2"/>
    </row>
    <row r="463" ht="14.25" customHeight="1">
      <c r="L463" s="2"/>
    </row>
    <row r="464" ht="14.25" customHeight="1">
      <c r="L464" s="2"/>
    </row>
    <row r="465" ht="14.25" customHeight="1">
      <c r="L465" s="2"/>
    </row>
    <row r="466" ht="14.25" customHeight="1">
      <c r="L466" s="2"/>
    </row>
    <row r="467" ht="14.25" customHeight="1">
      <c r="L467" s="2"/>
    </row>
    <row r="468" ht="14.25" customHeight="1">
      <c r="L468" s="2"/>
    </row>
    <row r="469" ht="14.25" customHeight="1">
      <c r="L469" s="2"/>
    </row>
    <row r="470" ht="14.25" customHeight="1">
      <c r="L470" s="2"/>
    </row>
    <row r="471" ht="14.25" customHeight="1">
      <c r="L471" s="2"/>
    </row>
    <row r="472" ht="14.25" customHeight="1">
      <c r="L472" s="2"/>
    </row>
    <row r="473" ht="14.25" customHeight="1">
      <c r="L473" s="2"/>
    </row>
    <row r="474" ht="14.25" customHeight="1">
      <c r="L474" s="2"/>
    </row>
    <row r="475" ht="14.25" customHeight="1">
      <c r="L475" s="2"/>
    </row>
    <row r="476" ht="14.25" customHeight="1">
      <c r="L476" s="2"/>
    </row>
    <row r="477" ht="14.25" customHeight="1">
      <c r="L477" s="2"/>
    </row>
    <row r="478" ht="14.25" customHeight="1">
      <c r="L478" s="2"/>
    </row>
    <row r="479" ht="14.25" customHeight="1">
      <c r="L479" s="2"/>
    </row>
    <row r="480" ht="14.25" customHeight="1">
      <c r="L480" s="2"/>
    </row>
    <row r="481" ht="14.25" customHeight="1">
      <c r="L481" s="2"/>
    </row>
    <row r="482" ht="14.25" customHeight="1">
      <c r="L482" s="2"/>
    </row>
    <row r="483" ht="14.25" customHeight="1">
      <c r="L483" s="2"/>
    </row>
    <row r="484" ht="14.25" customHeight="1">
      <c r="L484" s="2"/>
    </row>
    <row r="485" ht="14.25" customHeight="1">
      <c r="L485" s="2"/>
    </row>
    <row r="486" ht="14.25" customHeight="1">
      <c r="L486" s="2"/>
    </row>
    <row r="487" ht="14.25" customHeight="1">
      <c r="L487" s="2"/>
    </row>
    <row r="488" ht="14.25" customHeight="1">
      <c r="L488" s="2"/>
    </row>
    <row r="489" ht="14.25" customHeight="1">
      <c r="L489" s="2"/>
    </row>
    <row r="490" ht="14.25" customHeight="1">
      <c r="L490" s="2"/>
    </row>
    <row r="491" ht="14.25" customHeight="1">
      <c r="L491" s="2"/>
    </row>
    <row r="492" ht="14.25" customHeight="1">
      <c r="L492" s="2"/>
    </row>
    <row r="493" ht="14.25" customHeight="1">
      <c r="L493" s="2"/>
    </row>
    <row r="494" ht="14.25" customHeight="1">
      <c r="L494" s="2"/>
    </row>
    <row r="495" ht="14.25" customHeight="1">
      <c r="L495" s="2"/>
    </row>
    <row r="496" ht="14.25" customHeight="1">
      <c r="L496" s="2"/>
    </row>
    <row r="497" ht="14.25" customHeight="1">
      <c r="L497" s="2"/>
    </row>
    <row r="498" ht="14.25" customHeight="1">
      <c r="L498" s="2"/>
    </row>
    <row r="499" ht="14.25" customHeight="1">
      <c r="L499" s="2"/>
    </row>
    <row r="500" ht="14.25" customHeight="1">
      <c r="L500" s="2"/>
    </row>
    <row r="501" ht="14.25" customHeight="1">
      <c r="L501" s="2"/>
    </row>
    <row r="502" ht="14.25" customHeight="1">
      <c r="L502" s="2"/>
    </row>
    <row r="503" ht="14.25" customHeight="1">
      <c r="L503" s="2"/>
    </row>
    <row r="504" ht="14.25" customHeight="1">
      <c r="L504" s="2"/>
    </row>
    <row r="505" ht="14.25" customHeight="1">
      <c r="L505" s="2"/>
    </row>
    <row r="506" ht="14.25" customHeight="1">
      <c r="L506" s="2"/>
    </row>
    <row r="507" ht="14.25" customHeight="1">
      <c r="L507" s="2"/>
    </row>
    <row r="508" ht="14.25" customHeight="1">
      <c r="L508" s="2"/>
    </row>
    <row r="509" ht="14.25" customHeight="1">
      <c r="L509" s="2"/>
    </row>
    <row r="510" ht="14.25" customHeight="1">
      <c r="L510" s="2"/>
    </row>
    <row r="511" ht="14.25" customHeight="1">
      <c r="L511" s="2"/>
    </row>
    <row r="512" ht="14.25" customHeight="1">
      <c r="L512" s="2"/>
    </row>
    <row r="513" ht="14.25" customHeight="1">
      <c r="L513" s="2"/>
    </row>
    <row r="514" ht="14.25" customHeight="1">
      <c r="L514" s="2"/>
    </row>
    <row r="515" ht="14.25" customHeight="1">
      <c r="L515" s="2"/>
    </row>
    <row r="516" ht="14.25" customHeight="1">
      <c r="L516" s="2"/>
    </row>
    <row r="517" ht="14.25" customHeight="1">
      <c r="L517" s="2"/>
    </row>
    <row r="518" ht="14.25" customHeight="1">
      <c r="L518" s="2"/>
    </row>
    <row r="519" ht="14.25" customHeight="1">
      <c r="L519" s="2"/>
    </row>
    <row r="520" ht="14.25" customHeight="1">
      <c r="L520" s="2"/>
    </row>
    <row r="521" ht="14.25" customHeight="1">
      <c r="L521" s="2"/>
    </row>
    <row r="522" ht="14.25" customHeight="1">
      <c r="L522" s="2"/>
    </row>
    <row r="523" ht="14.25" customHeight="1">
      <c r="L523" s="2"/>
    </row>
    <row r="524" ht="14.25" customHeight="1">
      <c r="L524" s="2"/>
    </row>
    <row r="525" ht="14.25" customHeight="1">
      <c r="L525" s="2"/>
    </row>
    <row r="526" ht="14.25" customHeight="1">
      <c r="L526" s="2"/>
    </row>
    <row r="527" ht="14.25" customHeight="1">
      <c r="L527" s="2"/>
    </row>
    <row r="528" ht="14.25" customHeight="1">
      <c r="L528" s="2"/>
    </row>
    <row r="529" ht="14.25" customHeight="1">
      <c r="L529" s="2"/>
    </row>
    <row r="530" ht="14.25" customHeight="1">
      <c r="L530" s="2"/>
    </row>
    <row r="531" ht="14.25" customHeight="1">
      <c r="L531" s="2"/>
    </row>
    <row r="532" ht="14.25" customHeight="1">
      <c r="L532" s="2"/>
    </row>
    <row r="533" ht="14.25" customHeight="1">
      <c r="L533" s="2"/>
    </row>
    <row r="534" ht="14.25" customHeight="1">
      <c r="L534" s="2"/>
    </row>
    <row r="535" ht="14.25" customHeight="1">
      <c r="L535" s="2"/>
    </row>
    <row r="536" ht="14.25" customHeight="1">
      <c r="L536" s="2"/>
    </row>
    <row r="537" ht="14.25" customHeight="1">
      <c r="L537" s="2"/>
    </row>
    <row r="538" ht="14.25" customHeight="1">
      <c r="L538" s="2"/>
    </row>
    <row r="539" ht="14.25" customHeight="1">
      <c r="L539" s="2"/>
    </row>
    <row r="540" ht="14.25" customHeight="1">
      <c r="L540" s="2"/>
    </row>
    <row r="541" ht="14.25" customHeight="1">
      <c r="L541" s="2"/>
    </row>
    <row r="542" ht="14.25" customHeight="1">
      <c r="L542" s="2"/>
    </row>
    <row r="543" ht="14.25" customHeight="1">
      <c r="L543" s="2"/>
    </row>
    <row r="544" ht="14.25" customHeight="1">
      <c r="L544" s="2"/>
    </row>
    <row r="545" ht="14.25" customHeight="1">
      <c r="L545" s="2"/>
    </row>
    <row r="546" ht="14.25" customHeight="1">
      <c r="L546" s="2"/>
    </row>
    <row r="547" ht="14.25" customHeight="1">
      <c r="L547" s="2"/>
    </row>
    <row r="548" ht="14.25" customHeight="1">
      <c r="L548" s="2"/>
    </row>
    <row r="549" ht="14.25" customHeight="1">
      <c r="L549" s="2"/>
    </row>
    <row r="550" ht="14.25" customHeight="1">
      <c r="L550" s="2"/>
    </row>
    <row r="551" ht="14.25" customHeight="1">
      <c r="L551" s="2"/>
    </row>
    <row r="552" ht="14.25" customHeight="1">
      <c r="L552" s="2"/>
    </row>
    <row r="553" ht="14.25" customHeight="1">
      <c r="L553" s="2"/>
    </row>
    <row r="554" ht="14.25" customHeight="1">
      <c r="L554" s="2"/>
    </row>
    <row r="555" ht="14.25" customHeight="1">
      <c r="L555" s="2"/>
    </row>
    <row r="556" ht="14.25" customHeight="1">
      <c r="L556" s="2"/>
    </row>
    <row r="557" ht="14.25" customHeight="1">
      <c r="L557" s="2"/>
    </row>
    <row r="558" ht="14.25" customHeight="1">
      <c r="L558" s="2"/>
    </row>
    <row r="559" ht="14.25" customHeight="1">
      <c r="L559" s="2"/>
    </row>
    <row r="560" ht="14.25" customHeight="1">
      <c r="L560" s="2"/>
    </row>
    <row r="561" ht="14.25" customHeight="1">
      <c r="L561" s="2"/>
    </row>
    <row r="562" ht="14.25" customHeight="1">
      <c r="L562" s="2"/>
    </row>
    <row r="563" ht="14.25" customHeight="1">
      <c r="L563" s="2"/>
    </row>
    <row r="564" ht="14.25" customHeight="1">
      <c r="L564" s="2"/>
    </row>
    <row r="565" ht="14.25" customHeight="1">
      <c r="L565" s="2"/>
    </row>
    <row r="566" ht="14.25" customHeight="1">
      <c r="L566" s="2"/>
    </row>
    <row r="567" ht="14.25" customHeight="1">
      <c r="L567" s="2"/>
    </row>
    <row r="568" ht="14.25" customHeight="1">
      <c r="L568" s="2"/>
    </row>
    <row r="569" ht="14.25" customHeight="1">
      <c r="L569" s="2"/>
    </row>
    <row r="570" ht="14.25" customHeight="1">
      <c r="L570" s="2"/>
    </row>
    <row r="571" ht="14.25" customHeight="1">
      <c r="L571" s="2"/>
    </row>
    <row r="572" ht="14.25" customHeight="1">
      <c r="L572" s="2"/>
    </row>
    <row r="573" ht="14.25" customHeight="1">
      <c r="L573" s="2"/>
    </row>
    <row r="574" ht="14.25" customHeight="1">
      <c r="L574" s="2"/>
    </row>
    <row r="575" ht="14.25" customHeight="1">
      <c r="L575" s="2"/>
    </row>
    <row r="576" ht="14.25" customHeight="1">
      <c r="L576" s="2"/>
    </row>
    <row r="577" ht="14.25" customHeight="1">
      <c r="L577" s="2"/>
    </row>
    <row r="578" ht="14.25" customHeight="1">
      <c r="L578" s="2"/>
    </row>
    <row r="579" ht="14.25" customHeight="1">
      <c r="L579" s="2"/>
    </row>
    <row r="580" ht="14.25" customHeight="1">
      <c r="L580" s="2"/>
    </row>
    <row r="581" ht="14.25" customHeight="1">
      <c r="L581" s="2"/>
    </row>
    <row r="582" ht="14.25" customHeight="1">
      <c r="L582" s="2"/>
    </row>
    <row r="583" ht="14.25" customHeight="1">
      <c r="L583" s="2"/>
    </row>
    <row r="584" ht="14.25" customHeight="1">
      <c r="L584" s="2"/>
    </row>
    <row r="585" ht="14.25" customHeight="1">
      <c r="L585" s="2"/>
    </row>
    <row r="586" ht="14.25" customHeight="1">
      <c r="L586" s="2"/>
    </row>
    <row r="587" ht="14.25" customHeight="1">
      <c r="L587" s="2"/>
    </row>
    <row r="588" ht="14.25" customHeight="1">
      <c r="L588" s="2"/>
    </row>
    <row r="589" ht="14.25" customHeight="1">
      <c r="L589" s="2"/>
    </row>
    <row r="590" ht="14.25" customHeight="1">
      <c r="L590" s="2"/>
    </row>
    <row r="591" ht="14.25" customHeight="1">
      <c r="L591" s="2"/>
    </row>
    <row r="592" ht="14.25" customHeight="1">
      <c r="L592" s="2"/>
    </row>
    <row r="593" ht="14.25" customHeight="1">
      <c r="L593" s="2"/>
    </row>
    <row r="594" ht="14.25" customHeight="1">
      <c r="L594" s="2"/>
    </row>
    <row r="595" ht="14.25" customHeight="1">
      <c r="L595" s="2"/>
    </row>
    <row r="596" ht="14.25" customHeight="1">
      <c r="L596" s="2"/>
    </row>
    <row r="597" ht="14.25" customHeight="1">
      <c r="L597" s="2"/>
    </row>
    <row r="598" ht="14.25" customHeight="1">
      <c r="L598" s="2"/>
    </row>
    <row r="599" ht="14.25" customHeight="1">
      <c r="L599" s="2"/>
    </row>
    <row r="600" ht="14.25" customHeight="1">
      <c r="L600" s="2"/>
    </row>
    <row r="601" ht="14.25" customHeight="1">
      <c r="L601" s="2"/>
    </row>
    <row r="602" ht="14.25" customHeight="1">
      <c r="L602" s="2"/>
    </row>
    <row r="603" ht="14.25" customHeight="1">
      <c r="L603" s="2"/>
    </row>
    <row r="604" ht="14.25" customHeight="1">
      <c r="L604" s="2"/>
    </row>
    <row r="605" ht="14.25" customHeight="1">
      <c r="L605" s="2"/>
    </row>
    <row r="606" ht="14.25" customHeight="1">
      <c r="L606" s="2"/>
    </row>
    <row r="607" ht="14.25" customHeight="1">
      <c r="L607" s="2"/>
    </row>
    <row r="608" ht="14.25" customHeight="1">
      <c r="L608" s="2"/>
    </row>
    <row r="609" ht="14.25" customHeight="1">
      <c r="L609" s="2"/>
    </row>
    <row r="610" ht="14.25" customHeight="1">
      <c r="L610" s="2"/>
    </row>
    <row r="611" ht="14.25" customHeight="1">
      <c r="L611" s="2"/>
    </row>
    <row r="612" ht="14.25" customHeight="1">
      <c r="L612" s="2"/>
    </row>
    <row r="613" ht="14.25" customHeight="1">
      <c r="L613" s="2"/>
    </row>
    <row r="614" ht="14.25" customHeight="1">
      <c r="L614" s="2"/>
    </row>
    <row r="615" ht="14.25" customHeight="1">
      <c r="L615" s="2"/>
    </row>
    <row r="616" ht="14.25" customHeight="1">
      <c r="L616" s="2"/>
    </row>
    <row r="617" ht="14.25" customHeight="1">
      <c r="L617" s="2"/>
    </row>
    <row r="618" ht="14.25" customHeight="1">
      <c r="L618" s="2"/>
    </row>
    <row r="619" ht="14.25" customHeight="1">
      <c r="L619" s="2"/>
    </row>
    <row r="620" ht="14.25" customHeight="1">
      <c r="L620" s="2"/>
    </row>
    <row r="621" ht="14.25" customHeight="1">
      <c r="L621" s="2"/>
    </row>
    <row r="622" ht="14.25" customHeight="1">
      <c r="L622" s="2"/>
    </row>
    <row r="623" ht="14.25" customHeight="1">
      <c r="L623" s="2"/>
    </row>
    <row r="624" ht="14.25" customHeight="1">
      <c r="L624" s="2"/>
    </row>
    <row r="625" ht="14.25" customHeight="1">
      <c r="L625" s="2"/>
    </row>
    <row r="626" ht="14.25" customHeight="1">
      <c r="L626" s="2"/>
    </row>
    <row r="627" ht="14.25" customHeight="1">
      <c r="L627" s="2"/>
    </row>
    <row r="628" ht="14.25" customHeight="1">
      <c r="L628" s="2"/>
    </row>
    <row r="629" ht="14.25" customHeight="1">
      <c r="L629" s="2"/>
    </row>
    <row r="630" ht="14.25" customHeight="1">
      <c r="L630" s="2"/>
    </row>
    <row r="631" ht="14.25" customHeight="1">
      <c r="L631" s="2"/>
    </row>
    <row r="632" ht="14.25" customHeight="1">
      <c r="L632" s="2"/>
    </row>
    <row r="633" ht="14.25" customHeight="1">
      <c r="L633" s="2"/>
    </row>
    <row r="634" ht="14.25" customHeight="1">
      <c r="L634" s="2"/>
    </row>
    <row r="635" ht="14.25" customHeight="1">
      <c r="L635" s="2"/>
    </row>
    <row r="636" ht="14.25" customHeight="1">
      <c r="L636" s="2"/>
    </row>
    <row r="637" ht="14.25" customHeight="1">
      <c r="L637" s="2"/>
    </row>
    <row r="638" ht="14.25" customHeight="1">
      <c r="L638" s="2"/>
    </row>
    <row r="639" ht="14.25" customHeight="1">
      <c r="L639" s="2"/>
    </row>
    <row r="640" ht="14.25" customHeight="1">
      <c r="L640" s="2"/>
    </row>
    <row r="641" ht="14.25" customHeight="1">
      <c r="L641" s="2"/>
    </row>
    <row r="642" ht="14.25" customHeight="1">
      <c r="L642" s="2"/>
    </row>
    <row r="643" ht="14.25" customHeight="1">
      <c r="L643" s="2"/>
    </row>
    <row r="644" ht="14.25" customHeight="1">
      <c r="L644" s="2"/>
    </row>
    <row r="645" ht="14.25" customHeight="1">
      <c r="L645" s="2"/>
    </row>
    <row r="646" ht="14.25" customHeight="1">
      <c r="L646" s="2"/>
    </row>
    <row r="647" ht="14.25" customHeight="1">
      <c r="L647" s="2"/>
    </row>
    <row r="648" ht="14.25" customHeight="1">
      <c r="L648" s="2"/>
    </row>
    <row r="649" ht="14.25" customHeight="1">
      <c r="L649" s="2"/>
    </row>
    <row r="650" ht="14.25" customHeight="1">
      <c r="L650" s="2"/>
    </row>
    <row r="651" ht="14.25" customHeight="1">
      <c r="L651" s="2"/>
    </row>
    <row r="652" ht="14.25" customHeight="1">
      <c r="L652" s="2"/>
    </row>
    <row r="653" ht="14.25" customHeight="1">
      <c r="L653" s="2"/>
    </row>
    <row r="654" ht="14.25" customHeight="1">
      <c r="L654" s="2"/>
    </row>
    <row r="655" ht="14.25" customHeight="1">
      <c r="L655" s="2"/>
    </row>
    <row r="656" ht="14.25" customHeight="1">
      <c r="L656" s="2"/>
    </row>
    <row r="657" ht="14.25" customHeight="1">
      <c r="L657" s="2"/>
    </row>
    <row r="658" ht="14.25" customHeight="1">
      <c r="L658" s="2"/>
    </row>
    <row r="659" ht="14.25" customHeight="1">
      <c r="L659" s="2"/>
    </row>
    <row r="660" ht="14.25" customHeight="1">
      <c r="L660" s="2"/>
    </row>
    <row r="661" ht="14.25" customHeight="1">
      <c r="L661" s="2"/>
    </row>
    <row r="662" ht="14.25" customHeight="1">
      <c r="L662" s="2"/>
    </row>
    <row r="663" ht="14.25" customHeight="1">
      <c r="L663" s="2"/>
    </row>
    <row r="664" ht="14.25" customHeight="1">
      <c r="L664" s="2"/>
    </row>
    <row r="665" ht="14.25" customHeight="1">
      <c r="L665" s="2"/>
    </row>
    <row r="666" ht="14.25" customHeight="1">
      <c r="L666" s="2"/>
    </row>
    <row r="667" ht="14.25" customHeight="1">
      <c r="L667" s="2"/>
    </row>
    <row r="668" ht="14.25" customHeight="1">
      <c r="L668" s="2"/>
    </row>
    <row r="669" ht="14.25" customHeight="1">
      <c r="L669" s="2"/>
    </row>
    <row r="670" ht="14.25" customHeight="1">
      <c r="L670" s="2"/>
    </row>
    <row r="671" ht="14.25" customHeight="1">
      <c r="L671" s="2"/>
    </row>
    <row r="672" ht="14.25" customHeight="1">
      <c r="L672" s="2"/>
    </row>
    <row r="673" ht="14.25" customHeight="1">
      <c r="L673" s="2"/>
    </row>
    <row r="674" ht="14.25" customHeight="1">
      <c r="L674" s="2"/>
    </row>
    <row r="675" ht="14.25" customHeight="1">
      <c r="L675" s="2"/>
    </row>
    <row r="676" ht="14.25" customHeight="1">
      <c r="L676" s="2"/>
    </row>
    <row r="677" ht="14.25" customHeight="1">
      <c r="L677" s="2"/>
    </row>
    <row r="678" ht="14.25" customHeight="1">
      <c r="L678" s="2"/>
    </row>
    <row r="679" ht="14.25" customHeight="1">
      <c r="L679" s="2"/>
    </row>
    <row r="680" ht="14.25" customHeight="1">
      <c r="L680" s="2"/>
    </row>
    <row r="681" ht="14.25" customHeight="1">
      <c r="L681" s="2"/>
    </row>
    <row r="682" ht="14.25" customHeight="1">
      <c r="L682" s="2"/>
    </row>
    <row r="683" ht="14.25" customHeight="1">
      <c r="L683" s="2"/>
    </row>
    <row r="684" ht="14.25" customHeight="1">
      <c r="L684" s="2"/>
    </row>
    <row r="685" ht="14.25" customHeight="1">
      <c r="L685" s="2"/>
    </row>
    <row r="686" ht="14.25" customHeight="1">
      <c r="L686" s="2"/>
    </row>
    <row r="687" ht="14.25" customHeight="1">
      <c r="L687" s="2"/>
    </row>
    <row r="688" ht="14.25" customHeight="1">
      <c r="L688" s="2"/>
    </row>
    <row r="689" ht="14.25" customHeight="1">
      <c r="L689" s="2"/>
    </row>
    <row r="690" ht="14.25" customHeight="1">
      <c r="L690" s="2"/>
    </row>
    <row r="691" ht="14.25" customHeight="1">
      <c r="L691" s="2"/>
    </row>
    <row r="692" ht="14.25" customHeight="1">
      <c r="L692" s="2"/>
    </row>
    <row r="693" ht="14.25" customHeight="1">
      <c r="L693" s="2"/>
    </row>
    <row r="694" ht="14.25" customHeight="1">
      <c r="L694" s="2"/>
    </row>
    <row r="695" ht="14.25" customHeight="1">
      <c r="L695" s="2"/>
    </row>
    <row r="696" ht="14.25" customHeight="1">
      <c r="L696" s="2"/>
    </row>
    <row r="697" ht="14.25" customHeight="1">
      <c r="L697" s="2"/>
    </row>
    <row r="698" ht="14.25" customHeight="1">
      <c r="L698" s="2"/>
    </row>
    <row r="699" ht="14.25" customHeight="1">
      <c r="L699" s="2"/>
    </row>
    <row r="700" ht="14.25" customHeight="1">
      <c r="L700" s="2"/>
    </row>
    <row r="701" ht="14.25" customHeight="1">
      <c r="L701" s="2"/>
    </row>
    <row r="702" ht="14.25" customHeight="1">
      <c r="L702" s="2"/>
    </row>
    <row r="703" ht="14.25" customHeight="1">
      <c r="L703" s="2"/>
    </row>
    <row r="704" ht="14.25" customHeight="1">
      <c r="L704" s="2"/>
    </row>
    <row r="705" ht="14.25" customHeight="1">
      <c r="L705" s="2"/>
    </row>
    <row r="706" ht="14.25" customHeight="1">
      <c r="L706" s="2"/>
    </row>
    <row r="707" ht="14.25" customHeight="1">
      <c r="L707" s="2"/>
    </row>
    <row r="708" ht="14.25" customHeight="1">
      <c r="L708" s="2"/>
    </row>
    <row r="709" ht="14.25" customHeight="1">
      <c r="L709" s="2"/>
    </row>
    <row r="710" ht="14.25" customHeight="1">
      <c r="L710" s="2"/>
    </row>
    <row r="711" ht="14.25" customHeight="1">
      <c r="L711" s="2"/>
    </row>
    <row r="712" ht="14.25" customHeight="1">
      <c r="L712" s="2"/>
    </row>
    <row r="713" ht="14.25" customHeight="1">
      <c r="L713" s="2"/>
    </row>
    <row r="714" ht="14.25" customHeight="1">
      <c r="L714" s="2"/>
    </row>
    <row r="715" ht="14.25" customHeight="1">
      <c r="L715" s="2"/>
    </row>
    <row r="716" ht="14.25" customHeight="1">
      <c r="L716" s="2"/>
    </row>
    <row r="717" ht="14.25" customHeight="1">
      <c r="L717" s="2"/>
    </row>
    <row r="718" ht="14.25" customHeight="1">
      <c r="L718" s="2"/>
    </row>
    <row r="719" ht="14.25" customHeight="1">
      <c r="L719" s="2"/>
    </row>
    <row r="720" ht="14.25" customHeight="1">
      <c r="L720" s="2"/>
    </row>
    <row r="721" ht="14.25" customHeight="1">
      <c r="L721" s="2"/>
    </row>
    <row r="722" ht="14.25" customHeight="1">
      <c r="L722" s="2"/>
    </row>
    <row r="723" ht="14.25" customHeight="1">
      <c r="L723" s="2"/>
    </row>
    <row r="724" ht="14.25" customHeight="1">
      <c r="L724" s="2"/>
    </row>
    <row r="725" ht="14.25" customHeight="1">
      <c r="L725" s="2"/>
    </row>
    <row r="726" ht="14.25" customHeight="1">
      <c r="L726" s="2"/>
    </row>
    <row r="727" ht="14.25" customHeight="1">
      <c r="L727" s="2"/>
    </row>
    <row r="728" ht="14.25" customHeight="1">
      <c r="L728" s="2"/>
    </row>
    <row r="729" ht="14.25" customHeight="1">
      <c r="L729" s="2"/>
    </row>
    <row r="730" ht="14.25" customHeight="1">
      <c r="L730" s="2"/>
    </row>
    <row r="731" ht="14.25" customHeight="1">
      <c r="L731" s="2"/>
    </row>
    <row r="732" ht="14.25" customHeight="1">
      <c r="L732" s="2"/>
    </row>
    <row r="733" ht="14.25" customHeight="1">
      <c r="L733" s="2"/>
    </row>
    <row r="734" ht="14.25" customHeight="1">
      <c r="L734" s="2"/>
    </row>
    <row r="735" ht="14.25" customHeight="1">
      <c r="L735" s="2"/>
    </row>
    <row r="736" ht="14.25" customHeight="1">
      <c r="L736" s="2"/>
    </row>
    <row r="737" ht="14.25" customHeight="1">
      <c r="L737" s="2"/>
    </row>
    <row r="738" ht="14.25" customHeight="1">
      <c r="L738" s="2"/>
    </row>
    <row r="739" ht="14.25" customHeight="1">
      <c r="L739" s="2"/>
    </row>
    <row r="740" ht="14.25" customHeight="1">
      <c r="L740" s="2"/>
    </row>
    <row r="741" ht="14.25" customHeight="1">
      <c r="L741" s="2"/>
    </row>
    <row r="742" ht="14.25" customHeight="1">
      <c r="L742" s="2"/>
    </row>
    <row r="743" ht="14.25" customHeight="1">
      <c r="L743" s="2"/>
    </row>
    <row r="744" ht="14.25" customHeight="1">
      <c r="L744" s="2"/>
    </row>
    <row r="745" ht="14.25" customHeight="1">
      <c r="L745" s="2"/>
    </row>
    <row r="746" ht="14.25" customHeight="1">
      <c r="L746" s="2"/>
    </row>
    <row r="747" ht="14.25" customHeight="1">
      <c r="L747" s="2"/>
    </row>
    <row r="748" ht="14.25" customHeight="1">
      <c r="L748" s="2"/>
    </row>
    <row r="749" ht="14.25" customHeight="1">
      <c r="L749" s="2"/>
    </row>
    <row r="750" ht="14.25" customHeight="1">
      <c r="L750" s="2"/>
    </row>
    <row r="751" ht="14.25" customHeight="1">
      <c r="L751" s="2"/>
    </row>
    <row r="752" ht="14.25" customHeight="1">
      <c r="L752" s="2"/>
    </row>
    <row r="753" ht="14.25" customHeight="1">
      <c r="L753" s="2"/>
    </row>
    <row r="754" ht="14.25" customHeight="1">
      <c r="L754" s="2"/>
    </row>
    <row r="755" ht="14.25" customHeight="1">
      <c r="L755" s="2"/>
    </row>
    <row r="756" ht="14.25" customHeight="1">
      <c r="L756" s="2"/>
    </row>
    <row r="757" ht="14.25" customHeight="1">
      <c r="L757" s="2"/>
    </row>
    <row r="758" ht="14.25" customHeight="1">
      <c r="L758" s="2"/>
    </row>
    <row r="759" ht="14.25" customHeight="1">
      <c r="L759" s="2"/>
    </row>
    <row r="760" ht="14.25" customHeight="1">
      <c r="L760" s="2"/>
    </row>
    <row r="761" ht="14.25" customHeight="1">
      <c r="L761" s="2"/>
    </row>
    <row r="762" ht="14.25" customHeight="1">
      <c r="L762" s="2"/>
    </row>
    <row r="763" ht="14.25" customHeight="1">
      <c r="L763" s="2"/>
    </row>
    <row r="764" ht="14.25" customHeight="1">
      <c r="L764" s="2"/>
    </row>
    <row r="765" ht="14.25" customHeight="1">
      <c r="L765" s="2"/>
    </row>
    <row r="766" ht="14.25" customHeight="1">
      <c r="L766" s="2"/>
    </row>
    <row r="767" ht="14.25" customHeight="1">
      <c r="L767" s="2"/>
    </row>
    <row r="768" ht="14.25" customHeight="1">
      <c r="L768" s="2"/>
    </row>
    <row r="769" ht="14.25" customHeight="1">
      <c r="L769" s="2"/>
    </row>
    <row r="770" ht="14.25" customHeight="1">
      <c r="L770" s="2"/>
    </row>
    <row r="771" ht="14.25" customHeight="1">
      <c r="L771" s="2"/>
    </row>
    <row r="772" ht="14.25" customHeight="1">
      <c r="L772" s="2"/>
    </row>
    <row r="773" ht="14.25" customHeight="1">
      <c r="L773" s="2"/>
    </row>
    <row r="774" ht="14.25" customHeight="1">
      <c r="L774" s="2"/>
    </row>
    <row r="775" ht="14.25" customHeight="1">
      <c r="L775" s="2"/>
    </row>
    <row r="776" ht="14.25" customHeight="1">
      <c r="L776" s="2"/>
    </row>
    <row r="777" ht="14.25" customHeight="1">
      <c r="L777" s="2"/>
    </row>
    <row r="778" ht="14.25" customHeight="1">
      <c r="L778" s="2"/>
    </row>
    <row r="779" ht="14.25" customHeight="1">
      <c r="L779" s="2"/>
    </row>
    <row r="780" ht="14.25" customHeight="1">
      <c r="L780" s="2"/>
    </row>
    <row r="781" ht="14.25" customHeight="1">
      <c r="L781" s="2"/>
    </row>
    <row r="782" ht="14.25" customHeight="1">
      <c r="L782" s="2"/>
    </row>
    <row r="783" ht="14.25" customHeight="1">
      <c r="L783" s="2"/>
    </row>
    <row r="784" ht="14.25" customHeight="1">
      <c r="L784" s="2"/>
    </row>
    <row r="785" ht="14.25" customHeight="1">
      <c r="L785" s="2"/>
    </row>
    <row r="786" ht="14.25" customHeight="1">
      <c r="L786" s="2"/>
    </row>
    <row r="787" ht="14.25" customHeight="1">
      <c r="L787" s="2"/>
    </row>
    <row r="788" ht="14.25" customHeight="1">
      <c r="L788" s="2"/>
    </row>
    <row r="789" ht="14.25" customHeight="1">
      <c r="L789" s="2"/>
    </row>
    <row r="790" ht="14.25" customHeight="1">
      <c r="L790" s="2"/>
    </row>
    <row r="791" ht="14.25" customHeight="1">
      <c r="L791" s="2"/>
    </row>
    <row r="792" ht="14.25" customHeight="1">
      <c r="L792" s="2"/>
    </row>
    <row r="793" ht="14.25" customHeight="1">
      <c r="L793" s="2"/>
    </row>
    <row r="794" ht="14.25" customHeight="1">
      <c r="L794" s="2"/>
    </row>
    <row r="795" ht="14.25" customHeight="1">
      <c r="L795" s="2"/>
    </row>
    <row r="796" ht="14.25" customHeight="1">
      <c r="L796" s="2"/>
    </row>
    <row r="797" ht="14.25" customHeight="1">
      <c r="L797" s="2"/>
    </row>
    <row r="798" ht="14.25" customHeight="1">
      <c r="L798" s="2"/>
    </row>
    <row r="799" ht="14.25" customHeight="1">
      <c r="L799" s="2"/>
    </row>
    <row r="800" ht="14.25" customHeight="1">
      <c r="L800" s="2"/>
    </row>
    <row r="801" ht="14.25" customHeight="1">
      <c r="L801" s="2"/>
    </row>
    <row r="802" ht="14.25" customHeight="1">
      <c r="L802" s="2"/>
    </row>
    <row r="803" ht="14.25" customHeight="1">
      <c r="L803" s="2"/>
    </row>
    <row r="804" ht="14.25" customHeight="1">
      <c r="L804" s="2"/>
    </row>
    <row r="805" ht="14.25" customHeight="1">
      <c r="L805" s="2"/>
    </row>
    <row r="806" ht="14.25" customHeight="1">
      <c r="L806" s="2"/>
    </row>
    <row r="807" ht="14.25" customHeight="1">
      <c r="L807" s="2"/>
    </row>
    <row r="808" ht="14.25" customHeight="1">
      <c r="L808" s="2"/>
    </row>
    <row r="809" ht="14.25" customHeight="1">
      <c r="L809" s="2"/>
    </row>
    <row r="810" ht="14.25" customHeight="1">
      <c r="L810" s="2"/>
    </row>
    <row r="811" ht="14.25" customHeight="1">
      <c r="L811" s="2"/>
    </row>
    <row r="812" ht="14.25" customHeight="1">
      <c r="L812" s="2"/>
    </row>
    <row r="813" ht="14.25" customHeight="1">
      <c r="L813" s="2"/>
    </row>
    <row r="814" ht="14.25" customHeight="1">
      <c r="L814" s="2"/>
    </row>
    <row r="815" ht="14.25" customHeight="1">
      <c r="L815" s="2"/>
    </row>
    <row r="816" ht="14.25" customHeight="1">
      <c r="L816" s="2"/>
    </row>
    <row r="817" ht="14.25" customHeight="1">
      <c r="L817" s="2"/>
    </row>
    <row r="818" ht="14.25" customHeight="1">
      <c r="L818" s="2"/>
    </row>
    <row r="819" ht="14.25" customHeight="1">
      <c r="L819" s="2"/>
    </row>
    <row r="820" ht="14.25" customHeight="1">
      <c r="L820" s="2"/>
    </row>
    <row r="821" ht="14.25" customHeight="1">
      <c r="L821" s="2"/>
    </row>
    <row r="822" ht="14.25" customHeight="1">
      <c r="L822" s="2"/>
    </row>
    <row r="823" ht="14.25" customHeight="1">
      <c r="L823" s="2"/>
    </row>
    <row r="824" ht="14.25" customHeight="1">
      <c r="L824" s="2"/>
    </row>
    <row r="825" ht="14.25" customHeight="1">
      <c r="L825" s="2"/>
    </row>
    <row r="826" ht="14.25" customHeight="1">
      <c r="L826" s="2"/>
    </row>
    <row r="827" ht="14.25" customHeight="1">
      <c r="L827" s="2"/>
    </row>
    <row r="828" ht="14.25" customHeight="1">
      <c r="L828" s="2"/>
    </row>
    <row r="829" ht="14.25" customHeight="1">
      <c r="L829" s="2"/>
    </row>
    <row r="830" ht="14.25" customHeight="1">
      <c r="L830" s="2"/>
    </row>
    <row r="831" ht="14.25" customHeight="1">
      <c r="L831" s="2"/>
    </row>
    <row r="832" ht="14.25" customHeight="1">
      <c r="L832" s="2"/>
    </row>
    <row r="833" ht="14.25" customHeight="1">
      <c r="L833" s="2"/>
    </row>
    <row r="834" ht="14.25" customHeight="1">
      <c r="L834" s="2"/>
    </row>
    <row r="835" ht="14.25" customHeight="1">
      <c r="L835" s="2"/>
    </row>
    <row r="836" ht="14.25" customHeight="1">
      <c r="L836" s="2"/>
    </row>
    <row r="837" ht="14.25" customHeight="1">
      <c r="L837" s="2"/>
    </row>
    <row r="838" ht="14.25" customHeight="1">
      <c r="L838" s="2"/>
    </row>
    <row r="839" ht="14.25" customHeight="1">
      <c r="L839" s="2"/>
    </row>
    <row r="840" ht="14.25" customHeight="1">
      <c r="L840" s="2"/>
    </row>
    <row r="841" ht="14.25" customHeight="1">
      <c r="L841" s="2"/>
    </row>
    <row r="842" ht="14.25" customHeight="1">
      <c r="L842" s="2"/>
    </row>
    <row r="843" ht="14.25" customHeight="1">
      <c r="L843" s="2"/>
    </row>
    <row r="844" ht="14.25" customHeight="1">
      <c r="L844" s="2"/>
    </row>
    <row r="845" ht="14.25" customHeight="1">
      <c r="L845" s="2"/>
    </row>
    <row r="846" ht="14.25" customHeight="1">
      <c r="L846" s="2"/>
    </row>
    <row r="847" ht="14.25" customHeight="1">
      <c r="L847" s="2"/>
    </row>
    <row r="848" ht="14.25" customHeight="1">
      <c r="L848" s="2"/>
    </row>
    <row r="849" ht="14.25" customHeight="1">
      <c r="L849" s="2"/>
    </row>
    <row r="850" ht="14.25" customHeight="1">
      <c r="L850" s="2"/>
    </row>
    <row r="851" ht="14.25" customHeight="1">
      <c r="L851" s="2"/>
    </row>
    <row r="852" ht="14.25" customHeight="1">
      <c r="L852" s="2"/>
    </row>
    <row r="853" ht="14.25" customHeight="1">
      <c r="L853" s="2"/>
    </row>
    <row r="854" ht="14.25" customHeight="1">
      <c r="L854" s="2"/>
    </row>
    <row r="855" ht="14.25" customHeight="1">
      <c r="L855" s="2"/>
    </row>
    <row r="856" ht="14.25" customHeight="1">
      <c r="L856" s="2"/>
    </row>
    <row r="857" ht="14.25" customHeight="1">
      <c r="L857" s="2"/>
    </row>
    <row r="858" ht="14.25" customHeight="1">
      <c r="L858" s="2"/>
    </row>
    <row r="859" ht="14.25" customHeight="1">
      <c r="L859" s="2"/>
    </row>
    <row r="860" ht="14.25" customHeight="1">
      <c r="L860" s="2"/>
    </row>
    <row r="861" ht="14.25" customHeight="1">
      <c r="L861" s="2"/>
    </row>
    <row r="862" ht="14.25" customHeight="1">
      <c r="L862" s="2"/>
    </row>
    <row r="863" ht="14.25" customHeight="1">
      <c r="L863" s="2"/>
    </row>
    <row r="864" ht="14.25" customHeight="1">
      <c r="L864" s="2"/>
    </row>
    <row r="865" ht="14.25" customHeight="1">
      <c r="L865" s="2"/>
    </row>
    <row r="866" ht="14.25" customHeight="1">
      <c r="L866" s="2"/>
    </row>
    <row r="867" ht="14.25" customHeight="1">
      <c r="L867" s="2"/>
    </row>
    <row r="868" ht="14.25" customHeight="1">
      <c r="L868" s="2"/>
    </row>
    <row r="869" ht="14.25" customHeight="1">
      <c r="L869" s="2"/>
    </row>
    <row r="870" ht="14.25" customHeight="1">
      <c r="L870" s="2"/>
    </row>
    <row r="871" ht="14.25" customHeight="1">
      <c r="L871" s="2"/>
    </row>
    <row r="872" ht="14.25" customHeight="1">
      <c r="L872" s="2"/>
    </row>
    <row r="873" ht="14.25" customHeight="1">
      <c r="L873" s="2"/>
    </row>
    <row r="874" ht="14.25" customHeight="1">
      <c r="L874" s="2"/>
    </row>
    <row r="875" ht="14.25" customHeight="1">
      <c r="L875" s="2"/>
    </row>
    <row r="876" ht="14.25" customHeight="1">
      <c r="L876" s="2"/>
    </row>
    <row r="877" ht="14.25" customHeight="1">
      <c r="L877" s="2"/>
    </row>
    <row r="878" ht="14.25" customHeight="1">
      <c r="L878" s="2"/>
    </row>
    <row r="879" ht="14.25" customHeight="1">
      <c r="L879" s="2"/>
    </row>
    <row r="880" ht="14.25" customHeight="1">
      <c r="L880" s="2"/>
    </row>
    <row r="881" ht="14.25" customHeight="1">
      <c r="L881" s="2"/>
    </row>
    <row r="882" ht="14.25" customHeight="1">
      <c r="L882" s="2"/>
    </row>
    <row r="883" ht="14.25" customHeight="1">
      <c r="L883" s="2"/>
    </row>
    <row r="884" ht="14.25" customHeight="1">
      <c r="L884" s="2"/>
    </row>
    <row r="885" ht="14.25" customHeight="1">
      <c r="L885" s="2"/>
    </row>
    <row r="886" ht="14.25" customHeight="1">
      <c r="L886" s="2"/>
    </row>
    <row r="887" ht="14.25" customHeight="1">
      <c r="L887" s="2"/>
    </row>
    <row r="888" ht="14.25" customHeight="1">
      <c r="L888" s="2"/>
    </row>
    <row r="889" ht="14.25" customHeight="1">
      <c r="L889" s="2"/>
    </row>
    <row r="890" ht="14.25" customHeight="1">
      <c r="L890" s="2"/>
    </row>
    <row r="891" ht="14.25" customHeight="1">
      <c r="L891" s="2"/>
    </row>
    <row r="892" ht="14.25" customHeight="1">
      <c r="L892" s="2"/>
    </row>
    <row r="893" ht="14.25" customHeight="1">
      <c r="L893" s="2"/>
    </row>
    <row r="894" ht="14.25" customHeight="1">
      <c r="L894" s="2"/>
    </row>
    <row r="895" ht="14.25" customHeight="1">
      <c r="L895" s="2"/>
    </row>
    <row r="896" ht="14.25" customHeight="1">
      <c r="L896" s="2"/>
    </row>
    <row r="897" ht="14.25" customHeight="1">
      <c r="L897" s="2"/>
    </row>
    <row r="898" ht="14.25" customHeight="1">
      <c r="L898" s="2"/>
    </row>
    <row r="899" ht="14.25" customHeight="1">
      <c r="L899" s="2"/>
    </row>
    <row r="900" ht="14.25" customHeight="1">
      <c r="L900" s="2"/>
    </row>
    <row r="901" ht="14.25" customHeight="1">
      <c r="L901" s="2"/>
    </row>
    <row r="902" ht="14.25" customHeight="1">
      <c r="L902" s="2"/>
    </row>
    <row r="903" ht="14.25" customHeight="1">
      <c r="L903" s="2"/>
    </row>
    <row r="904" ht="14.25" customHeight="1">
      <c r="L904" s="2"/>
    </row>
    <row r="905" ht="14.25" customHeight="1">
      <c r="L905" s="2"/>
    </row>
    <row r="906" ht="14.25" customHeight="1">
      <c r="L906" s="2"/>
    </row>
    <row r="907" ht="14.25" customHeight="1">
      <c r="L907" s="2"/>
    </row>
    <row r="908" ht="14.25" customHeight="1">
      <c r="L908" s="2"/>
    </row>
    <row r="909" ht="14.25" customHeight="1">
      <c r="L909" s="2"/>
    </row>
    <row r="910" ht="14.25" customHeight="1">
      <c r="L910" s="2"/>
    </row>
    <row r="911" ht="14.25" customHeight="1">
      <c r="L911" s="2"/>
    </row>
    <row r="912" ht="14.25" customHeight="1">
      <c r="L912" s="2"/>
    </row>
    <row r="913" ht="14.25" customHeight="1">
      <c r="L913" s="2"/>
    </row>
    <row r="914" ht="14.25" customHeight="1">
      <c r="L914" s="2"/>
    </row>
    <row r="915" ht="14.25" customHeight="1">
      <c r="L915" s="2"/>
    </row>
    <row r="916" ht="14.25" customHeight="1">
      <c r="L916" s="2"/>
    </row>
    <row r="917" ht="14.25" customHeight="1">
      <c r="L917" s="2"/>
    </row>
    <row r="918" ht="14.25" customHeight="1">
      <c r="L918" s="2"/>
    </row>
    <row r="919" ht="14.25" customHeight="1">
      <c r="L919" s="2"/>
    </row>
    <row r="920" ht="14.25" customHeight="1">
      <c r="L920" s="2"/>
    </row>
    <row r="921" ht="14.25" customHeight="1">
      <c r="L921" s="2"/>
    </row>
    <row r="922" ht="14.25" customHeight="1">
      <c r="L922" s="2"/>
    </row>
    <row r="923" ht="14.25" customHeight="1">
      <c r="L923" s="2"/>
    </row>
    <row r="924" ht="14.25" customHeight="1">
      <c r="L924" s="2"/>
    </row>
    <row r="925" ht="14.25" customHeight="1">
      <c r="L925" s="2"/>
    </row>
    <row r="926" ht="14.25" customHeight="1">
      <c r="L926" s="2"/>
    </row>
    <row r="927" ht="14.25" customHeight="1">
      <c r="L927" s="2"/>
    </row>
    <row r="928" ht="14.25" customHeight="1">
      <c r="L928" s="2"/>
    </row>
    <row r="929" ht="14.25" customHeight="1">
      <c r="L929" s="2"/>
    </row>
    <row r="930" ht="14.25" customHeight="1">
      <c r="L930" s="2"/>
    </row>
    <row r="931" ht="14.25" customHeight="1">
      <c r="L931" s="2"/>
    </row>
    <row r="932" ht="14.25" customHeight="1">
      <c r="L932" s="2"/>
    </row>
    <row r="933" ht="14.25" customHeight="1">
      <c r="L933" s="2"/>
    </row>
    <row r="934" ht="14.25" customHeight="1">
      <c r="L934" s="2"/>
    </row>
    <row r="935" ht="14.25" customHeight="1">
      <c r="L935" s="2"/>
    </row>
    <row r="936" ht="14.25" customHeight="1">
      <c r="L936" s="2"/>
    </row>
    <row r="937" ht="14.25" customHeight="1">
      <c r="L937" s="2"/>
    </row>
    <row r="938" ht="14.25" customHeight="1">
      <c r="L938" s="2"/>
    </row>
    <row r="939" ht="14.25" customHeight="1">
      <c r="L939" s="2"/>
    </row>
    <row r="940" ht="14.25" customHeight="1">
      <c r="L940" s="2"/>
    </row>
    <row r="941" ht="14.25" customHeight="1">
      <c r="L941" s="2"/>
    </row>
    <row r="942" ht="14.25" customHeight="1">
      <c r="L942" s="2"/>
    </row>
    <row r="943" ht="14.25" customHeight="1">
      <c r="L943" s="2"/>
    </row>
    <row r="944" ht="14.25" customHeight="1">
      <c r="L944" s="2"/>
    </row>
    <row r="945" ht="14.25" customHeight="1">
      <c r="L945" s="2"/>
    </row>
    <row r="946" ht="14.25" customHeight="1">
      <c r="L946" s="2"/>
    </row>
    <row r="947" ht="14.25" customHeight="1">
      <c r="L947" s="2"/>
    </row>
    <row r="948" ht="14.25" customHeight="1">
      <c r="L948" s="2"/>
    </row>
    <row r="949" ht="14.25" customHeight="1">
      <c r="L949" s="2"/>
    </row>
    <row r="950" ht="14.25" customHeight="1">
      <c r="L950" s="2"/>
    </row>
    <row r="951" ht="14.25" customHeight="1">
      <c r="L951" s="2"/>
    </row>
    <row r="952" ht="14.25" customHeight="1">
      <c r="L952" s="2"/>
    </row>
    <row r="953" ht="14.25" customHeight="1">
      <c r="L953" s="2"/>
    </row>
    <row r="954" ht="14.25" customHeight="1">
      <c r="L954" s="2"/>
    </row>
    <row r="955" ht="14.25" customHeight="1">
      <c r="L955" s="2"/>
    </row>
    <row r="956" ht="14.25" customHeight="1">
      <c r="L956" s="2"/>
    </row>
    <row r="957" ht="14.25" customHeight="1">
      <c r="L957" s="2"/>
    </row>
    <row r="958" ht="14.25" customHeight="1">
      <c r="L958" s="2"/>
    </row>
    <row r="959" ht="14.25" customHeight="1">
      <c r="L959" s="2"/>
    </row>
    <row r="960" ht="14.25" customHeight="1">
      <c r="L960" s="2"/>
    </row>
    <row r="961" ht="14.25" customHeight="1">
      <c r="L961" s="2"/>
    </row>
    <row r="962" ht="14.25" customHeight="1">
      <c r="L962" s="2"/>
    </row>
    <row r="963" ht="14.25" customHeight="1">
      <c r="L963" s="2"/>
    </row>
    <row r="964" ht="14.25" customHeight="1">
      <c r="L964" s="2"/>
    </row>
    <row r="965" ht="14.25" customHeight="1">
      <c r="L965" s="2"/>
    </row>
    <row r="966" ht="14.25" customHeight="1">
      <c r="L966" s="2"/>
    </row>
    <row r="967" ht="14.25" customHeight="1">
      <c r="L967" s="2"/>
    </row>
    <row r="968" ht="14.25" customHeight="1">
      <c r="L968" s="2"/>
    </row>
    <row r="969" ht="14.25" customHeight="1">
      <c r="L969" s="2"/>
    </row>
    <row r="970" ht="14.25" customHeight="1">
      <c r="L970" s="2"/>
    </row>
    <row r="971" ht="14.25" customHeight="1">
      <c r="L971" s="2"/>
    </row>
    <row r="972" ht="14.25" customHeight="1">
      <c r="L972" s="2"/>
    </row>
    <row r="973" ht="14.25" customHeight="1">
      <c r="L973" s="2"/>
    </row>
    <row r="974" ht="14.25" customHeight="1">
      <c r="L974" s="2"/>
    </row>
    <row r="975" ht="14.25" customHeight="1">
      <c r="L975" s="2"/>
    </row>
    <row r="976" ht="14.25" customHeight="1">
      <c r="L976" s="2"/>
    </row>
    <row r="977" ht="14.25" customHeight="1">
      <c r="L977" s="2"/>
    </row>
    <row r="978" ht="14.25" customHeight="1">
      <c r="L978" s="2"/>
    </row>
    <row r="979" ht="14.25" customHeight="1">
      <c r="L979" s="2"/>
    </row>
    <row r="980" ht="14.25" customHeight="1">
      <c r="L980" s="2"/>
    </row>
    <row r="981" ht="14.25" customHeight="1">
      <c r="L981" s="2"/>
    </row>
    <row r="982" ht="14.25" customHeight="1">
      <c r="L982" s="2"/>
    </row>
    <row r="983" ht="14.25" customHeight="1">
      <c r="L983" s="2"/>
    </row>
    <row r="984" ht="14.25" customHeight="1">
      <c r="L984" s="2"/>
    </row>
    <row r="985" ht="14.25" customHeight="1">
      <c r="L985" s="2"/>
    </row>
    <row r="986" ht="14.25" customHeight="1">
      <c r="L986" s="2"/>
    </row>
    <row r="987" ht="14.25" customHeight="1">
      <c r="L987" s="2"/>
    </row>
    <row r="988" ht="14.25" customHeight="1">
      <c r="L988" s="2"/>
    </row>
    <row r="989" ht="14.25" customHeight="1">
      <c r="L989" s="2"/>
    </row>
    <row r="990" ht="14.25" customHeight="1">
      <c r="L990" s="2"/>
    </row>
    <row r="991" ht="14.25" customHeight="1">
      <c r="L991" s="2"/>
    </row>
    <row r="992" ht="14.25" customHeight="1">
      <c r="L992" s="2"/>
    </row>
    <row r="993" ht="14.25" customHeight="1">
      <c r="L993" s="2"/>
    </row>
    <row r="994" ht="14.25" customHeight="1">
      <c r="L994" s="2"/>
    </row>
    <row r="995" ht="14.25" customHeight="1">
      <c r="L995" s="2"/>
    </row>
    <row r="996" ht="14.25" customHeight="1">
      <c r="L996" s="2"/>
    </row>
    <row r="997" ht="14.25" customHeight="1">
      <c r="L997" s="2"/>
    </row>
    <row r="998" ht="14.25" customHeight="1">
      <c r="L998" s="2"/>
    </row>
  </sheetData>
  <mergeCells count="4">
    <mergeCell ref="A5:J5"/>
    <mergeCell ref="A19:J19"/>
    <mergeCell ref="A30:J30"/>
    <mergeCell ref="A32:J32"/>
  </mergeCells>
  <printOptions/>
  <pageMargins bottom="0.75" footer="0.0" header="0.0" left="0.7" right="0.7" top="0.75"/>
  <pageSetup paperSize="9" orientation="portrait"/>
  <headerFooter>
    <oddHeader>&amp;LIBM&amp;CSource: Orbis, 2019&amp;RData in Euro millions</oddHeader>
  </headerFooter>
  <drawing r:id="rId1"/>
</worksheet>
</file>